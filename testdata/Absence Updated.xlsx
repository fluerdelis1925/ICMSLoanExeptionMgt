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sul\OneDrive\Documents\"/>
    </mc:Choice>
  </mc:AlternateContent>
  <xr:revisionPtr revIDLastSave="0" documentId="13_ncr:1_{F4403B83-6C11-42D8-834E-2A8794953AED}" xr6:coauthVersionLast="47" xr6:coauthVersionMax="47" xr10:uidLastSave="{00000000-0000-0000-0000-000000000000}"/>
  <bookViews>
    <workbookView xWindow="-108" yWindow="-108" windowWidth="23256" windowHeight="12456" activeTab="1" xr2:uid="{CBBE6433-4DC3-4491-9912-F6EBD709C3A4}"/>
  </bookViews>
  <sheets>
    <sheet name="Summary" sheetId="3" r:id="rId1"/>
    <sheet name="Estimations" sheetId="27" r:id="rId2"/>
    <sheet name="Sheet1" sheetId="30" r:id="rId3"/>
    <sheet name="LOVs" sheetId="28" r:id="rId4"/>
    <sheet name="ICMS LOVs" sheetId="29" r:id="rId5"/>
    <sheet name="NEW Industry Column Non-Salad" sheetId="1" r:id="rId6"/>
    <sheet name="NEW Industry Column Salad" sheetId="24" r:id="rId7"/>
    <sheet name="Test" sheetId="26" r:id="rId8"/>
    <sheet name="Company" sheetId="22" r:id="rId9"/>
    <sheet name="Sheet3" sheetId="25" r:id="rId10"/>
    <sheet name="Test-data" sheetId="5" state="hidden" r:id="rId11"/>
    <sheet name="PMWebtool" sheetId="6" state="hidden" r:id="rId12"/>
    <sheet name="Test Data" sheetId="4" state="hidden" r:id="rId13"/>
  </sheets>
  <definedNames>
    <definedName name="_xlnm._FilterDatabase" localSheetId="5" hidden="1">'NEW Industry Column Non-Salad'!$A$1:$Q$10</definedName>
    <definedName name="_xlnm._FilterDatabase" localSheetId="6" hidden="1">'NEW Industry Column Salad'!$A$1:$P$10</definedName>
    <definedName name="_xlnm._FilterDatabase" localSheetId="7" hidden="1">Test!$A$1:$N$10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30" l="1"/>
  <c r="M42" i="30"/>
  <c r="L43" i="30"/>
  <c r="L42" i="30"/>
  <c r="F42" i="30"/>
  <c r="G42" i="30" s="1"/>
  <c r="H42" i="30" s="1"/>
  <c r="F43" i="30"/>
  <c r="G43" i="30" s="1"/>
  <c r="H43" i="30" s="1"/>
  <c r="F44" i="30"/>
  <c r="G44" i="30" s="1"/>
  <c r="H44" i="30" s="1"/>
  <c r="F45" i="30"/>
  <c r="G45" i="30" s="1"/>
  <c r="H45" i="30" s="1"/>
  <c r="F48" i="30"/>
  <c r="G48" i="30" s="1"/>
  <c r="H48" i="30" s="1"/>
  <c r="F49" i="30"/>
  <c r="G49" i="30" s="1"/>
  <c r="H49" i="30" s="1"/>
  <c r="H50" i="30"/>
  <c r="F52" i="30"/>
  <c r="G52" i="30" s="1"/>
  <c r="H52" i="30" s="1"/>
  <c r="F53" i="30"/>
  <c r="G53" i="30" s="1"/>
  <c r="H53" i="30" s="1"/>
  <c r="F54" i="30"/>
  <c r="G54" i="30" s="1"/>
  <c r="H54" i="30" s="1"/>
  <c r="F58" i="30"/>
  <c r="G58" i="30" s="1"/>
  <c r="H58" i="30" s="1"/>
  <c r="F59" i="30"/>
  <c r="G59" i="30" s="1"/>
  <c r="H59" i="30" s="1"/>
  <c r="E64" i="30"/>
  <c r="E34" i="30"/>
  <c r="H25" i="27"/>
  <c r="F29" i="30"/>
  <c r="G29" i="30" s="1"/>
  <c r="H29" i="30" s="1"/>
  <c r="F28" i="30"/>
  <c r="G28" i="30" s="1"/>
  <c r="H28" i="30" s="1"/>
  <c r="F19" i="30"/>
  <c r="G19" i="30" s="1"/>
  <c r="H19" i="30" s="1"/>
  <c r="E19" i="3"/>
  <c r="E29" i="3"/>
  <c r="C29" i="3"/>
  <c r="D29" i="3"/>
  <c r="F15" i="30"/>
  <c r="G15" i="30" s="1"/>
  <c r="H15" i="30" s="1"/>
  <c r="F12" i="30"/>
  <c r="G12" i="30" s="1"/>
  <c r="H12" i="30" s="1"/>
  <c r="F14" i="30"/>
  <c r="G14" i="30" s="1"/>
  <c r="H14" i="30" s="1"/>
  <c r="F13" i="30"/>
  <c r="G13" i="30" s="1"/>
  <c r="H13" i="30" s="1"/>
  <c r="F24" i="30"/>
  <c r="G24" i="30" s="1"/>
  <c r="H24" i="30" s="1"/>
  <c r="F23" i="30"/>
  <c r="G23" i="30" s="1"/>
  <c r="H23" i="30" s="1"/>
  <c r="F22" i="30"/>
  <c r="G22" i="30" s="1"/>
  <c r="H22" i="30" s="1"/>
  <c r="H20" i="30"/>
  <c r="F18" i="30"/>
  <c r="G18" i="30" s="1"/>
  <c r="L17" i="30"/>
  <c r="J10" i="27"/>
  <c r="L10" i="27" s="1"/>
  <c r="N10" i="27" s="1"/>
  <c r="D19" i="3"/>
  <c r="F19" i="3"/>
  <c r="C19" i="3"/>
  <c r="L14" i="3"/>
  <c r="L21" i="3" s="1"/>
  <c r="G16" i="3"/>
  <c r="G15" i="3"/>
  <c r="H26" i="27"/>
  <c r="J20" i="27"/>
  <c r="L20" i="27" s="1"/>
  <c r="N20" i="27" s="1"/>
  <c r="N63" i="27"/>
  <c r="N37" i="27"/>
  <c r="J72" i="27"/>
  <c r="L72" i="27" s="1"/>
  <c r="N72" i="27" s="1"/>
  <c r="J71" i="27"/>
  <c r="L71" i="27" s="1"/>
  <c r="N71" i="27" s="1"/>
  <c r="N73" i="27" s="1"/>
  <c r="H77" i="27"/>
  <c r="J46" i="27"/>
  <c r="L46" i="27" s="1"/>
  <c r="N46" i="27" s="1"/>
  <c r="J45" i="27"/>
  <c r="L45" i="27" s="1"/>
  <c r="N45" i="27" s="1"/>
  <c r="J21" i="27"/>
  <c r="L21" i="27" s="1"/>
  <c r="N21" i="27" s="1"/>
  <c r="J67" i="27"/>
  <c r="L67" i="27" s="1"/>
  <c r="N67" i="27" s="1"/>
  <c r="J66" i="27"/>
  <c r="L66" i="27" s="1"/>
  <c r="N66" i="27" s="1"/>
  <c r="J65" i="27"/>
  <c r="L65" i="27" s="1"/>
  <c r="N65" i="27" s="1"/>
  <c r="J62" i="27"/>
  <c r="L62" i="27" s="1"/>
  <c r="N62" i="27" s="1"/>
  <c r="J61" i="27"/>
  <c r="L61" i="27" s="1"/>
  <c r="N61" i="27" s="1"/>
  <c r="H51" i="27"/>
  <c r="J41" i="27"/>
  <c r="L41" i="27" s="1"/>
  <c r="N41" i="27" s="1"/>
  <c r="J40" i="27"/>
  <c r="L40" i="27" s="1"/>
  <c r="N40" i="27" s="1"/>
  <c r="J39" i="27"/>
  <c r="L39" i="27" s="1"/>
  <c r="N39" i="27" s="1"/>
  <c r="J36" i="27"/>
  <c r="L36" i="27" s="1"/>
  <c r="N36" i="27" s="1"/>
  <c r="J35" i="27"/>
  <c r="L35" i="27" s="1"/>
  <c r="N35" i="27" s="1"/>
  <c r="J11" i="27"/>
  <c r="L11" i="27" s="1"/>
  <c r="N11" i="27" s="1"/>
  <c r="N12" i="27"/>
  <c r="J15" i="27"/>
  <c r="L15" i="27" s="1"/>
  <c r="N15" i="27" s="1"/>
  <c r="J14" i="27"/>
  <c r="L14" i="27" s="1"/>
  <c r="N14" i="27" s="1"/>
  <c r="J16" i="27"/>
  <c r="L16" i="27" s="1"/>
  <c r="N16" i="27" s="1"/>
  <c r="C41" i="3"/>
  <c r="F25" i="3"/>
  <c r="F26" i="3"/>
  <c r="F27" i="3"/>
  <c r="F28" i="3"/>
  <c r="F24" i="3"/>
  <c r="G17" i="3"/>
  <c r="G18" i="3"/>
  <c r="B6" i="3"/>
  <c r="B5" i="3"/>
  <c r="B4" i="3"/>
  <c r="L44" i="30" l="1"/>
  <c r="M44" i="30"/>
  <c r="H55" i="30"/>
  <c r="H60" i="30"/>
  <c r="G60" i="30"/>
  <c r="H46" i="30"/>
  <c r="G30" i="30"/>
  <c r="H18" i="30"/>
  <c r="H25" i="30" s="1"/>
  <c r="F29" i="3"/>
  <c r="H30" i="30"/>
  <c r="H16" i="30"/>
  <c r="H76" i="27"/>
  <c r="N17" i="27"/>
  <c r="N22" i="27"/>
  <c r="L42" i="27"/>
  <c r="G19" i="3"/>
  <c r="N42" i="27"/>
  <c r="N47" i="27"/>
  <c r="H50" i="27" s="1"/>
  <c r="N68" i="27"/>
  <c r="L68" i="27"/>
  <c r="B7" i="3"/>
  <c r="E33" i="30" l="1"/>
  <c r="E63" i="30"/>
  <c r="V39" i="27"/>
  <c r="V40" i="27"/>
  <c r="X40" i="27" s="1"/>
  <c r="X39" i="27" l="1"/>
  <c r="X41" i="27" s="1"/>
  <c r="V41" i="27"/>
</calcChain>
</file>

<file path=xl/sharedStrings.xml><?xml version="1.0" encoding="utf-8"?>
<sst xmlns="http://schemas.openxmlformats.org/spreadsheetml/2006/main" count="2279" uniqueCount="857">
  <si>
    <t>Test Case Name</t>
  </si>
  <si>
    <t>Test Case Description</t>
  </si>
  <si>
    <t>Step Details</t>
  </si>
  <si>
    <t>Expected Result</t>
  </si>
  <si>
    <t>Actual Result</t>
  </si>
  <si>
    <t>Tester</t>
  </si>
  <si>
    <t>Test Case Status</t>
  </si>
  <si>
    <t>Execution Date</t>
  </si>
  <si>
    <t>Retest Date</t>
  </si>
  <si>
    <t>Remarks</t>
  </si>
  <si>
    <t>Not Started</t>
  </si>
  <si>
    <t>Test Case Number</t>
  </si>
  <si>
    <t>Product Type</t>
  </si>
  <si>
    <t>Username/Password</t>
  </si>
  <si>
    <t>CompanyID/AccountID</t>
  </si>
  <si>
    <t>L0</t>
  </si>
  <si>
    <t>Reference number</t>
  </si>
  <si>
    <t>Loan No.</t>
  </si>
  <si>
    <t>Borrow No.</t>
  </si>
  <si>
    <t>Environment</t>
  </si>
  <si>
    <t>PL</t>
  </si>
  <si>
    <t>9568890101/111111</t>
  </si>
  <si>
    <t>529020002464166</t>
  </si>
  <si>
    <t>529020002464187</t>
  </si>
  <si>
    <t>UAT 1</t>
  </si>
  <si>
    <t>C4C</t>
  </si>
  <si>
    <t>136450611382
213953842687</t>
  </si>
  <si>
    <r>
      <rPr>
        <sz val="11"/>
        <color rgb="FFFF0000"/>
        <rFont val="Calibri"/>
        <family val="2"/>
        <scheme val="minor"/>
      </rPr>
      <t>*529030002462221</t>
    </r>
    <r>
      <rPr>
        <sz val="11"/>
        <color theme="1"/>
        <rFont val="Calibri"/>
        <family val="2"/>
        <scheme val="minor"/>
      </rPr>
      <t xml:space="preserve">
*529030002462167</t>
    </r>
  </si>
  <si>
    <t>*529030002462242
*529030002462188</t>
  </si>
  <si>
    <t>2W</t>
  </si>
  <si>
    <t>9568890102/111111</t>
  </si>
  <si>
    <t>529040002464193</t>
  </si>
  <si>
    <t>529040002464216</t>
  </si>
  <si>
    <t>Instant Cash</t>
  </si>
  <si>
    <t>529010002240172</t>
  </si>
  <si>
    <t>529010002240193</t>
  </si>
  <si>
    <t>Cash Hooloogan</t>
  </si>
  <si>
    <t>529010002028636</t>
  </si>
  <si>
    <t>529010002028802</t>
  </si>
  <si>
    <t>Pay Hooloogan</t>
  </si>
  <si>
    <t>529010002374160</t>
  </si>
  <si>
    <t>529010002390167</t>
  </si>
  <si>
    <t>SL01</t>
  </si>
  <si>
    <t>620241128034605/
720241128034605</t>
  </si>
  <si>
    <r>
      <rPr>
        <sz val="11"/>
        <color rgb="FFFF0000"/>
        <rFont val="Calibri"/>
        <family val="2"/>
        <scheme val="minor"/>
      </rPr>
      <t>*529050006124154</t>
    </r>
    <r>
      <rPr>
        <sz val="11"/>
        <color theme="1"/>
        <rFont val="Calibri"/>
        <family val="2"/>
        <scheme val="minor"/>
      </rPr>
      <t xml:space="preserve">
*529050006124180</t>
    </r>
  </si>
  <si>
    <t>*529050006124175
*529050006124203</t>
  </si>
  <si>
    <t>UAT 2</t>
  </si>
  <si>
    <t>SL02</t>
  </si>
  <si>
    <t>620241128034606/
720241128034606</t>
  </si>
  <si>
    <r>
      <rPr>
        <sz val="11"/>
        <color rgb="FFFF0000"/>
        <rFont val="Calibri"/>
        <family val="2"/>
        <scheme val="minor"/>
      </rPr>
      <t>*529060006124214</t>
    </r>
    <r>
      <rPr>
        <sz val="11"/>
        <color theme="1"/>
        <rFont val="Calibri"/>
        <family val="2"/>
        <scheme val="minor"/>
      </rPr>
      <t xml:space="preserve">
*529060006124240</t>
    </r>
  </si>
  <si>
    <t>*529060006124235
*529060006124261</t>
  </si>
  <si>
    <t>SL03</t>
  </si>
  <si>
    <t>620241128034608/
720241128034608</t>
  </si>
  <si>
    <r>
      <rPr>
        <sz val="11"/>
        <color rgb="FFFF0000"/>
        <rFont val="Calibri"/>
        <family val="2"/>
        <scheme val="minor"/>
      </rPr>
      <t>*529070006124272</t>
    </r>
    <r>
      <rPr>
        <sz val="11"/>
        <color theme="1"/>
        <rFont val="Calibri"/>
        <family val="2"/>
        <scheme val="minor"/>
      </rPr>
      <t xml:space="preserve">
*529070006124300</t>
    </r>
  </si>
  <si>
    <t>*529070006124293
*529070006124321</t>
  </si>
  <si>
    <t>SL04</t>
  </si>
  <si>
    <t xml:space="preserve">9560909091
9560909092
</t>
  </si>
  <si>
    <r>
      <t xml:space="preserve">620241128034609/
720241128034609
</t>
    </r>
    <r>
      <rPr>
        <b/>
        <sz val="11"/>
        <color theme="1"/>
        <rFont val="Calibri"/>
        <family val="2"/>
        <scheme val="minor"/>
      </rPr>
      <t>Enrolled Company Code:</t>
    </r>
    <r>
      <rPr>
        <sz val="11"/>
        <color theme="1"/>
        <rFont val="Calibri"/>
        <family val="2"/>
        <scheme val="minor"/>
      </rPr>
      <t xml:space="preserve">
4f4eb805-2e1a-469a-93c9-87ffbac0e33b</t>
    </r>
  </si>
  <si>
    <r>
      <rPr>
        <b/>
        <sz val="11"/>
        <color theme="1"/>
        <rFont val="Calibri"/>
        <family val="2"/>
        <scheme val="minor"/>
      </rPr>
      <t>Username:</t>
    </r>
    <r>
      <rPr>
        <sz val="11"/>
        <color theme="1"/>
        <rFont val="Calibri"/>
        <family val="2"/>
        <scheme val="minor"/>
      </rPr>
      <t xml:space="preserve"> TestOne@jkl.com
</t>
    </r>
    <r>
      <rPr>
        <b/>
        <sz val="11"/>
        <color theme="1"/>
        <rFont val="Calibri"/>
        <family val="2"/>
        <scheme val="minor"/>
      </rPr>
      <t>Password:</t>
    </r>
    <r>
      <rPr>
        <sz val="11"/>
        <color theme="1"/>
        <rFont val="Calibri"/>
        <family val="2"/>
        <scheme val="minor"/>
      </rPr>
      <t xml:space="preserve"> 0n49fkoj</t>
    </r>
  </si>
  <si>
    <t>188994518747
211233328404</t>
  </si>
  <si>
    <r>
      <rPr>
        <sz val="11"/>
        <color rgb="FFFF0000"/>
        <rFont val="Calibri"/>
        <family val="2"/>
        <scheme val="minor"/>
      </rPr>
      <t>*529080006126160</t>
    </r>
    <r>
      <rPr>
        <sz val="11"/>
        <color theme="1"/>
        <rFont val="Calibri"/>
        <family val="2"/>
        <scheme val="minor"/>
      </rPr>
      <t xml:space="preserve">
*529080006126197</t>
    </r>
  </si>
  <si>
    <t>*529080006126181
*529080006126210</t>
  </si>
  <si>
    <t>SL05</t>
  </si>
  <si>
    <t>9560909093
9560909094</t>
  </si>
  <si>
    <r>
      <t xml:space="preserve">620241128034610/
720241128034610
</t>
    </r>
    <r>
      <rPr>
        <b/>
        <sz val="11"/>
        <color theme="1"/>
        <rFont val="Calibri"/>
        <family val="2"/>
        <scheme val="minor"/>
      </rPr>
      <t xml:space="preserve">Enrolled Company Code:
</t>
    </r>
    <r>
      <rPr>
        <sz val="11"/>
        <color theme="1"/>
        <rFont val="Calibri"/>
        <family val="2"/>
        <scheme val="minor"/>
      </rPr>
      <t>b2cd9408-bcfb-4949-8f07-61cad33c20e5</t>
    </r>
  </si>
  <si>
    <r>
      <rPr>
        <b/>
        <sz val="11"/>
        <color theme="1"/>
        <rFont val="Calibri"/>
        <family val="2"/>
        <scheme val="minor"/>
      </rPr>
      <t>Username:</t>
    </r>
    <r>
      <rPr>
        <sz val="11"/>
        <color theme="1"/>
        <rFont val="Calibri"/>
        <family val="2"/>
        <scheme val="minor"/>
      </rPr>
      <t xml:space="preserve"> TestTwo@asd.com
</t>
    </r>
    <r>
      <rPr>
        <b/>
        <sz val="11"/>
        <color theme="1"/>
        <rFont val="Calibri"/>
        <family val="2"/>
        <scheme val="minor"/>
      </rPr>
      <t>Password:</t>
    </r>
    <r>
      <rPr>
        <sz val="11"/>
        <color theme="1"/>
        <rFont val="Calibri"/>
        <family val="2"/>
        <scheme val="minor"/>
      </rPr>
      <t xml:space="preserve"> 2wca0scb</t>
    </r>
  </si>
  <si>
    <t>212283034836
225897369284</t>
  </si>
  <si>
    <r>
      <rPr>
        <sz val="11"/>
        <color rgb="FFFF0000"/>
        <rFont val="Calibri"/>
        <family val="2"/>
        <scheme val="minor"/>
      </rPr>
      <t>*529090006126220</t>
    </r>
    <r>
      <rPr>
        <sz val="11"/>
        <color theme="1"/>
        <rFont val="Calibri"/>
        <family val="2"/>
        <scheme val="minor"/>
      </rPr>
      <t xml:space="preserve">
*529090006126257</t>
    </r>
  </si>
  <si>
    <t>*529090006126241
*529090006126278</t>
  </si>
  <si>
    <t>Zuki Application</t>
  </si>
  <si>
    <t>Mobile Number</t>
  </si>
  <si>
    <t>PNs</t>
  </si>
  <si>
    <t>SLP</t>
  </si>
  <si>
    <t>Status</t>
  </si>
  <si>
    <t>WebCI</t>
  </si>
  <si>
    <t>SLP260526000074</t>
  </si>
  <si>
    <t>SLP260526000075</t>
  </si>
  <si>
    <t>SLP260526000077</t>
  </si>
  <si>
    <t>SLP260526000078</t>
  </si>
  <si>
    <t>RV01</t>
  </si>
  <si>
    <t>CC01</t>
  </si>
  <si>
    <t>SLP260615000002</t>
  </si>
  <si>
    <t>PL01</t>
  </si>
  <si>
    <t>Test Scenario</t>
  </si>
  <si>
    <t>Test Data</t>
  </si>
  <si>
    <t>TC ID</t>
  </si>
  <si>
    <t>Channel</t>
  </si>
  <si>
    <t>Pre Condition</t>
  </si>
  <si>
    <t>Passed</t>
  </si>
  <si>
    <t>Failed</t>
  </si>
  <si>
    <t>Dropped</t>
  </si>
  <si>
    <t>Not Completed</t>
  </si>
  <si>
    <t>STATUS LEGEND</t>
  </si>
  <si>
    <t>Test case was executed successfully and all expected results were achieved.</t>
  </si>
  <si>
    <t>Test case was executed but one or more expected results did not match the actual results.</t>
  </si>
  <si>
    <t>Test case will not be executed and is excluded from the test scope.</t>
  </si>
  <si>
    <t>Test case has not yet been executed.</t>
  </si>
  <si>
    <t>Test case execution was started but could not be completed.</t>
  </si>
  <si>
    <t>Product</t>
  </si>
  <si>
    <t>Test Cases</t>
  </si>
  <si>
    <t>Validate "Others" in the new Industry column of the LP Report.</t>
  </si>
  <si>
    <t>Validate "Administrative" in the new Industry column of the LP Report.</t>
  </si>
  <si>
    <t>Validate "Fishing" in the new Industry column of the LP Report.</t>
  </si>
  <si>
    <t>Validate "Growing of Banana" in the new Industry column of the LP Report.</t>
  </si>
  <si>
    <t>Validate "Hog" in the new Industry column of the LP Report.</t>
  </si>
  <si>
    <t>Validate "Poultry" in the new Industry column of the LP Report.</t>
  </si>
  <si>
    <t>Validate "Airlines" in the new Industry column of the LP Report.</t>
  </si>
  <si>
    <t>Validate "Forestry" in the new Industry column of the LP Report.</t>
  </si>
  <si>
    <t>Validate "Growing of Fruits, Veggies, Palay excl Banana" in the new Industry column of the LP Report.</t>
  </si>
  <si>
    <t>Validate "Automobile" in the new Industry column of the LP Report.</t>
  </si>
  <si>
    <t>Validate "Call Center" in the new Industry column of the LP Report.</t>
  </si>
  <si>
    <t>Validate "Education" in the new Industry column of the LP Report.</t>
  </si>
  <si>
    <t>Validate "Government" in the new Industry column of the LP Report.</t>
  </si>
  <si>
    <t>Validate "Medical Services" in the new Industry column of the LP Report.</t>
  </si>
  <si>
    <t>Validate "General Trade" in the new Industry column of the LP Report.</t>
  </si>
  <si>
    <t>Validate "Hospital/Medical Center" in the new Industry column of the LP Report.</t>
  </si>
  <si>
    <t>Validate "Agriculture, Forestry and Fishing" in the new Industry column of the LP Report.</t>
  </si>
  <si>
    <t>Validate "FMCG" in the new Industry column of the LP Report.</t>
  </si>
  <si>
    <t>Validate "International Charities, Foundations, and Non-Profit Organizations" in the new Industry column of the LP Report.</t>
  </si>
  <si>
    <t>Validate "Certified Local NPO/NGO" in the new Industry column of the LP Report.</t>
  </si>
  <si>
    <t>Validate "Non-Certified Local NPO/NGO" in the new Industry column of the LP Report.</t>
  </si>
  <si>
    <t>Validate "Clinic" in the new Industry column of the LP Report.</t>
  </si>
  <si>
    <t>Validate "Construction" in the new Industry column of the LP Report.</t>
  </si>
  <si>
    <t>Validate "Education - Private or Non-stock/profit institutions" in the new Industry column of the LP Report.</t>
  </si>
  <si>
    <t>Validate "Education - Public or government ownership or religious organization" in the new Industry column of the LP Report.</t>
  </si>
  <si>
    <t>Validate "Energy" in the new Industry column of the LP Report.</t>
  </si>
  <si>
    <t>Validate "Collection Agencies" in the new Industry column of the LP Report.</t>
  </si>
  <si>
    <t>Validate "Financial Institution (Non-Bank)" in the new Industry column of the LP Report.</t>
  </si>
  <si>
    <t>Validate "Insurance Activities" in the new Industry column of the LP Report.</t>
  </si>
  <si>
    <t>Validate "Lending Company" in the new Industry column of the LP Report.</t>
  </si>
  <si>
    <t>Validate "Pawnshop" in the new Industry column of the LP Report.</t>
  </si>
  <si>
    <t>Validate "Rural/Cooperatives" in the new Industry column of the LP Report.</t>
  </si>
  <si>
    <t>Validate "Universal/Savings Bank" in the new Industry column of the LP Report.</t>
  </si>
  <si>
    <t>Validate "Groceries/Supermarkets" in the new Industry column of the LP Report.</t>
  </si>
  <si>
    <t>Validate "Malls, Retail Shops &amp; Retailer of Gen. Merchandise" in the new Industry column of the LP Report.</t>
  </si>
  <si>
    <t>Validate "Micro Business" in the new Industry column of the LP Report.</t>
  </si>
  <si>
    <t>Validate "Phone Centers" in the new Industry column of the LP Report.</t>
  </si>
  <si>
    <t>Validate "Holding Company" in the new Industry column of the LP Report.</t>
  </si>
  <si>
    <t>Validate "Multi-level Marketing Firms" in the new Industry column of the LP Report.</t>
  </si>
  <si>
    <t>Validate "Sales Person/Agent (Freelance)" in the new Industry column of the LP Report.</t>
  </si>
  <si>
    <t>Validate "Textile Store Owner" in the new Industry column of the LP Report.</t>
  </si>
  <si>
    <t>Validate "Trading (Essentials)" in the new Industry column of the LP Report.</t>
  </si>
  <si>
    <t>Validate "Trading (Non-Essentials incl Motor Vehicles)" in the new Industry column of the LP Report.</t>
  </si>
  <si>
    <t>Validate "Underground Business (Retail Sale of Second-hand Goods, Wholesale of Scraps, etc.)" in the new Industry column of the LP Report.</t>
  </si>
  <si>
    <t>Validate "Gasoline Station" in the new Industry column of the LP Report.</t>
  </si>
  <si>
    <t>Validate "Embassy/Foreign Consulates" in the new Industry column of the LP Report.</t>
  </si>
  <si>
    <t>Validate "Regulatory - BSP, SEC, PSE, PDIC, OIC" in the new Industry column of the LP Report.</t>
  </si>
  <si>
    <t>Validate "SSS/Pag-ibig/GSIS/Philhealth" in the new Industry column of the LP Report.</t>
  </si>
  <si>
    <t>Validate "Government - Others" in the new Industry column of the LP Report.</t>
  </si>
  <si>
    <t>Validate "Arts, Entertainment and Recreation" in the new Industry column of the LP Report.</t>
  </si>
  <si>
    <t>Validate "Human Health and Social Activities" in the new Industry column of the LP Report.</t>
  </si>
  <si>
    <t>Validate "Parlor" in the new Industry column of the LP Report.</t>
  </si>
  <si>
    <t>Validate "Private Hospital or Healthcare Companies" in the new Industry column of the LP Report.</t>
  </si>
  <si>
    <t>Validate "Government Hospital or Health Center" in the new Industry column of the LP Report.</t>
  </si>
  <si>
    <t>Validate "Accommodation (Hotels / Motels / Resorts)" in the new Industry column of the LP Report.</t>
  </si>
  <si>
    <t>Validate "Betting and Gambling-related Activities" in the new Industry column of the LP Report.</t>
  </si>
  <si>
    <t>Validate "Dormitories" in the new Industry column of the LP Report.</t>
  </si>
  <si>
    <t>Validate "HR/Recruitment" in the new Industry column of the LP Report.</t>
  </si>
  <si>
    <t>Validate "Household employees not hired via agency" in the new Industry column of the LP Report.</t>
  </si>
  <si>
    <t>Validate "Shuttle Services / Operators of taxis, jeepneys, tricycles, etc." in the new Industry column of the LP Report.</t>
  </si>
  <si>
    <t>Validate "Sari-Sari Store" in the new Industry column of the LP Report.</t>
  </si>
  <si>
    <t>Validate "Street Stall" in the new Industry column of the LP Report.</t>
  </si>
  <si>
    <t>Validate "Informal Sector - Others" in the new Industry column of the LP Report.</t>
  </si>
  <si>
    <t>Validate "Computer Consultancy, Programming" in the new Industry column of the LP Report.</t>
  </si>
  <si>
    <t>Validate "Telecommunications" in the new Industry column of the LP Report.</t>
  </si>
  <si>
    <t>Validate "TV, Publishing, etc." in the new Industry column of the LP Report.</t>
  </si>
  <si>
    <t>Validate "Information Technology" in the new Industry column of the LP Report.</t>
  </si>
  <si>
    <t>Validate "Manpower Agencies" in the new Industry column of the LP Report.</t>
  </si>
  <si>
    <t>Validate "Customer Relations" in the new Industry column of the LP Report.</t>
  </si>
  <si>
    <t>Validate "Private Security" in the new Industry column of the LP Report.</t>
  </si>
  <si>
    <t>Validate "Armament Manufacturers, Dealers and Intermediaries" in the new Industry column of the LP Report.</t>
  </si>
  <si>
    <t>Validate "Manufacture of Refined Petroleum Products" in the new Industry column of the LP Report.</t>
  </si>
  <si>
    <t>Validate "Manufacturing (Essentials)" in the new Industry column of the LP Report.</t>
  </si>
  <si>
    <t>Validate "Manufacturing (Non-Essentials)" in the new Industry column of the LP Report.</t>
  </si>
  <si>
    <t>Validate "Media/Advertising" in the new Industry column of the LP Report.</t>
  </si>
  <si>
    <t>Validate "Private Medical Services" in the new Industry column of the LP Report.</t>
  </si>
  <si>
    <t>Validate "Government Medical Services" in the new Industry column of the LP Report.</t>
  </si>
  <si>
    <t>Validate "Military" in the new Industry column of the LP Report.</t>
  </si>
  <si>
    <t>Validate "Mining" in the new Industry column of the LP Report.</t>
  </si>
  <si>
    <t>Validate "Non-Voice BPO/Consulting" in the new Industry column of the LP Report.</t>
  </si>
  <si>
    <t>Validate "Pharmacy" in the new Industry column of the LP Report.</t>
  </si>
  <si>
    <t>Validate "Accounting Firm" in the new Industry column of the LP Report.</t>
  </si>
  <si>
    <t>Validate "Auctioneers" in the new Industry column of the LP Report.</t>
  </si>
  <si>
    <t>Validate "Custom Brokerage Firm" in the new Industry column of the LP Report.</t>
  </si>
  <si>
    <t>Validate "Dealers of Art &amp; Antique" in the new Industry column of the LP Report.</t>
  </si>
  <si>
    <t>Validate "Dealers or Exporters of Jewels/Gem/Precious Metal" in the new Industry column of the LP Report.</t>
  </si>
  <si>
    <t>Validate "Interior Design" in the new Industry column of the LP Report.</t>
  </si>
  <si>
    <t>Validate "Law Firm" in the new Industry column of the LP Report.</t>
  </si>
  <si>
    <t>Validate "Veterinary Activities" in the new Industry column of the LP Report.</t>
  </si>
  <si>
    <t>Validate "Real Estate" in the new Industry column of the LP Report.</t>
  </si>
  <si>
    <t>Validate "Religious" in the new Industry column of the LP Report.</t>
  </si>
  <si>
    <t>Validate "Rental" in the new Industry column of the LP Report.</t>
  </si>
  <si>
    <t>Validate "Restaurants/Food &amp; Beverage" in the new Industry column of the LP Report.</t>
  </si>
  <si>
    <t>Validate "Social Services" in the new Industry column of the LP Report.</t>
  </si>
  <si>
    <t>Validate "Buses, Public Utility Cars, Taxicabs" in the new Industry column of the LP Report.</t>
  </si>
  <si>
    <t>Validate "Freight Truck, Freight Rail Transport, Truck for Hire" in the new Industry column of the LP Report.</t>
  </si>
  <si>
    <t>Validate "Logistics Services" in the new Industry column of the LP Report.</t>
  </si>
  <si>
    <t>Validate "Operation of Toll Roads &amp; Bridges" in the new Industry column of the LP Report.</t>
  </si>
  <si>
    <t>Validate "Parking Garage" in the new Industry column of the LP Report.</t>
  </si>
  <si>
    <t>Validate "Warehouses, Cold Storage" in the new Industry column of the LP Report.</t>
  </si>
  <si>
    <t>Validate "Water Transportation" in the new Industry column of the LP Report.</t>
  </si>
  <si>
    <t>Validate "Travel and Tourism" in the new Industry column of the LP Report.</t>
  </si>
  <si>
    <t>Validate "Electricity, Gas, Steam and Air Conditioning Supply" in the new Industry column of the LP Report.</t>
  </si>
  <si>
    <t>Validate "Water Supply, Sewerage, Waste Mgt &amp; Remediation Activities" in the new Industry column of the LP Report.</t>
  </si>
  <si>
    <t>Validate "Professional, Scientific and Technical Services" in the new Industry column of the LP Report.</t>
  </si>
  <si>
    <t>Validate "Manufacturing" in the new Industry column of the LP Report.</t>
  </si>
  <si>
    <t>Validate "Utilities" in the new Industry column of the LP Report.</t>
  </si>
  <si>
    <t xml:space="preserve">
Nature of works: Others</t>
  </si>
  <si>
    <t xml:space="preserve">
Nature of works: Administrative</t>
  </si>
  <si>
    <t xml:space="preserve">
Nature of works: Fishing</t>
  </si>
  <si>
    <t xml:space="preserve">
Nature of works: Forestry</t>
  </si>
  <si>
    <t xml:space="preserve">
Nature of works: Growing of Banana</t>
  </si>
  <si>
    <t xml:space="preserve">
Nature of works: Growing of Fruits, Veggies, Palay excl Banana</t>
  </si>
  <si>
    <t xml:space="preserve">
Nature of works: Hog</t>
  </si>
  <si>
    <t xml:space="preserve">
Nature of works: Poultry</t>
  </si>
  <si>
    <t xml:space="preserve">
Nature of works: Airlines</t>
  </si>
  <si>
    <t xml:space="preserve">
Nature of works: Automobile</t>
  </si>
  <si>
    <t xml:space="preserve">
Nature of works: Call Center</t>
  </si>
  <si>
    <t xml:space="preserve">
Nature of works: Education</t>
  </si>
  <si>
    <t xml:space="preserve">
Nature of works: Government</t>
  </si>
  <si>
    <t xml:space="preserve">
Nature of works: Medical Services</t>
  </si>
  <si>
    <t xml:space="preserve">
Nature of works: General Trade</t>
  </si>
  <si>
    <t xml:space="preserve">
Nature of works: Hospital/Medical Center</t>
  </si>
  <si>
    <t xml:space="preserve">
Nature of works: Agriculture, Forestry and Fishing</t>
  </si>
  <si>
    <t xml:space="preserve">
Nature of works: FMCG</t>
  </si>
  <si>
    <t xml:space="preserve">
Nature of works: International Charities, Foundations, and Non-Profit Organizations</t>
  </si>
  <si>
    <t xml:space="preserve">
Nature of works: Certified Local NPO/NGO</t>
  </si>
  <si>
    <t xml:space="preserve">
Nature of works: Non-Certified Local NPO/NGO</t>
  </si>
  <si>
    <t xml:space="preserve">
Nature of works: Clinic</t>
  </si>
  <si>
    <t xml:space="preserve">
Nature of works: Construction</t>
  </si>
  <si>
    <t xml:space="preserve">
Nature of works: Education - Private or Non-stock/profit institutions</t>
  </si>
  <si>
    <t xml:space="preserve">
Nature of works: Education - Public or government ownership or religious organization</t>
  </si>
  <si>
    <t xml:space="preserve">
Nature of works: Energy</t>
  </si>
  <si>
    <t xml:space="preserve">
Nature of works: Collection Agencies</t>
  </si>
  <si>
    <t xml:space="preserve">
Nature of works: Financial Institution (Non-Bank)</t>
  </si>
  <si>
    <t xml:space="preserve">
Nature of works: Insurance Activities</t>
  </si>
  <si>
    <t xml:space="preserve">
Nature of works: Lending Company</t>
  </si>
  <si>
    <t xml:space="preserve">
Nature of works: Pawnshop</t>
  </si>
  <si>
    <t xml:space="preserve">
Nature of works: Rural/Cooperatives</t>
  </si>
  <si>
    <t xml:space="preserve">
Nature of works: Universal/Savings Bank</t>
  </si>
  <si>
    <t xml:space="preserve">
Nature of works: Groceries/Supermarkets</t>
  </si>
  <si>
    <t xml:space="preserve">
Nature of works: Malls, Retail Shops &amp; Retailer of Gen. Merchandise</t>
  </si>
  <si>
    <t xml:space="preserve">
Nature of works: Micro Business</t>
  </si>
  <si>
    <t xml:space="preserve">
Nature of works: Phone Centers</t>
  </si>
  <si>
    <t xml:space="preserve">
Nature of works: Holding Company</t>
  </si>
  <si>
    <t xml:space="preserve">
Nature of works: Multi-level Marketing Firms</t>
  </si>
  <si>
    <t xml:space="preserve">
Nature of works: Sales Person/Agent (Freelance)</t>
  </si>
  <si>
    <t xml:space="preserve">
Nature of works: Textile Store Owner</t>
  </si>
  <si>
    <t xml:space="preserve">
Nature of works: Trading (Essentials)</t>
  </si>
  <si>
    <t xml:space="preserve">
Nature of works: Trading (Non-Essentials incl Motor Vehicles)</t>
  </si>
  <si>
    <t xml:space="preserve">
Nature of works: Underground Business (Retail Sale of Second-hand Goods, Wholesale of Scraps, etc.)</t>
  </si>
  <si>
    <t xml:space="preserve">
Nature of works: Gasoline Station</t>
  </si>
  <si>
    <t xml:space="preserve">
Nature of works: Embassy/Foreign Consulates</t>
  </si>
  <si>
    <t xml:space="preserve">
Nature of works: Regulatory - BSP, SEC, PSE, PDIC, OIC</t>
  </si>
  <si>
    <t xml:space="preserve">
Nature of works: SSS/Pag-ibig/GSIS/Philhealth</t>
  </si>
  <si>
    <t xml:space="preserve">
Nature of works: Government - Others</t>
  </si>
  <si>
    <t xml:space="preserve">
Nature of works: Arts, Entertainment and Recreation</t>
  </si>
  <si>
    <t xml:space="preserve">
Nature of works: Human Health and Social Activities</t>
  </si>
  <si>
    <t xml:space="preserve">
Nature of works: Parlor</t>
  </si>
  <si>
    <t xml:space="preserve">
Nature of works: Private Hospital or Healthcare Companies</t>
  </si>
  <si>
    <t xml:space="preserve">
Nature of works: Government Hospital or Health Center</t>
  </si>
  <si>
    <t xml:space="preserve">
Nature of works: Accommodation (Hotels / Motels / Resorts)</t>
  </si>
  <si>
    <t xml:space="preserve">
Nature of works: Betting and Gambling-related Activities</t>
  </si>
  <si>
    <t xml:space="preserve">
Nature of works: Dormitories</t>
  </si>
  <si>
    <t xml:space="preserve">
Nature of works: HR/Recruitment</t>
  </si>
  <si>
    <t xml:space="preserve">
Nature of works: Household employees not hired via agency</t>
  </si>
  <si>
    <t xml:space="preserve">
Nature of works: Shuttle Services / Operators of taxis, jeepneys, tricycles, etc.</t>
  </si>
  <si>
    <t xml:space="preserve">
Nature of works: Sari-Sari Store</t>
  </si>
  <si>
    <t xml:space="preserve">
Nature of works: Street Stall</t>
  </si>
  <si>
    <t xml:space="preserve">
Nature of works: Informal Sector - Others</t>
  </si>
  <si>
    <t xml:space="preserve">
Nature of works: Computer Consultancy, Programming</t>
  </si>
  <si>
    <t xml:space="preserve">
Nature of works: Telecommunications</t>
  </si>
  <si>
    <t xml:space="preserve">
Nature of works: TV, Publishing, etc.</t>
  </si>
  <si>
    <t xml:space="preserve">
Nature of works: Information Technology</t>
  </si>
  <si>
    <t xml:space="preserve">
Nature of works: Manpower Agencies</t>
  </si>
  <si>
    <t xml:space="preserve">
Nature of works: Customer Relations</t>
  </si>
  <si>
    <t xml:space="preserve">
Nature of works: Private Security</t>
  </si>
  <si>
    <t xml:space="preserve">
Nature of works: Armament Manufacturers, Dealers and Intermediaries</t>
  </si>
  <si>
    <t xml:space="preserve">
Nature of works: Manufacture of Refined Petroleum Products</t>
  </si>
  <si>
    <t xml:space="preserve">
Nature of works: Manufacturing (Essentials)</t>
  </si>
  <si>
    <t xml:space="preserve">
Nature of works: Manufacturing (Non-Essentials)</t>
  </si>
  <si>
    <t xml:space="preserve">
Nature of works: Media/Advertising</t>
  </si>
  <si>
    <t xml:space="preserve">
Nature of works: Private Medical Services</t>
  </si>
  <si>
    <t xml:space="preserve">
Nature of works: Government Medical Services</t>
  </si>
  <si>
    <t xml:space="preserve">
Nature of works: Military</t>
  </si>
  <si>
    <t xml:space="preserve">
Nature of works: Mining</t>
  </si>
  <si>
    <t xml:space="preserve">
Nature of works: Non-Voice BPO/Consulting</t>
  </si>
  <si>
    <t xml:space="preserve">
Nature of works: Pharmacy</t>
  </si>
  <si>
    <t xml:space="preserve">
Nature of works: Accounting Firm</t>
  </si>
  <si>
    <t xml:space="preserve">
Nature of works: Auctioneers</t>
  </si>
  <si>
    <t xml:space="preserve">
Nature of works: Custom Brokerage Firm</t>
  </si>
  <si>
    <t xml:space="preserve">
Nature of works: Dealers of Art &amp; Antique</t>
  </si>
  <si>
    <t xml:space="preserve">
Nature of works: Dealers or Exporters of Jewels/Gem/Precious Metal</t>
  </si>
  <si>
    <t xml:space="preserve">
Nature of works: Interior Design</t>
  </si>
  <si>
    <t xml:space="preserve">
Nature of works: Law Firm</t>
  </si>
  <si>
    <t xml:space="preserve">
Nature of works: Veterinary Activities</t>
  </si>
  <si>
    <t xml:space="preserve">
Nature of works: Real Estate</t>
  </si>
  <si>
    <t xml:space="preserve">
Nature of works: Religious</t>
  </si>
  <si>
    <t xml:space="preserve">
Nature of works: Rental</t>
  </si>
  <si>
    <t xml:space="preserve">
Nature of works: Restaurants/Food &amp; Beverage</t>
  </si>
  <si>
    <t xml:space="preserve">
Nature of works: Social Services</t>
  </si>
  <si>
    <t xml:space="preserve">
Nature of works: Buses, Public Utility Cars, Taxicabs</t>
  </si>
  <si>
    <t xml:space="preserve">
Nature of works: Freight Truck, Freight Rail Transport, Truck for Hire</t>
  </si>
  <si>
    <t xml:space="preserve">
Nature of works: Logistics Services</t>
  </si>
  <si>
    <t xml:space="preserve">
Nature of works: Operation of Toll Roads &amp; Bridges</t>
  </si>
  <si>
    <t xml:space="preserve">
Nature of works: Parking Garage</t>
  </si>
  <si>
    <t xml:space="preserve">
Nature of works: Warehouses, Cold Storage</t>
  </si>
  <si>
    <t xml:space="preserve">
Nature of works: Water Transportation</t>
  </si>
  <si>
    <t xml:space="preserve">
Nature of works: Travel and Tourism</t>
  </si>
  <si>
    <t xml:space="preserve">
Nature of works: Electricity, Gas, Steam and Air Conditioning Supply</t>
  </si>
  <si>
    <t xml:space="preserve">
Nature of works: Water Supply, Sewerage, Waste Mgt &amp; Remediation Activities</t>
  </si>
  <si>
    <t xml:space="preserve">
Nature of works: Professional, Scientific and Technical Services</t>
  </si>
  <si>
    <t xml:space="preserve">
Nature of works: Manufacturing</t>
  </si>
  <si>
    <t xml:space="preserve">
Nature of works: Utilities</t>
  </si>
  <si>
    <t>Others</t>
  </si>
  <si>
    <t>Administrative</t>
  </si>
  <si>
    <t>Fishing</t>
  </si>
  <si>
    <t>Agriculture, Forestry and Fishing</t>
  </si>
  <si>
    <t>Hog</t>
  </si>
  <si>
    <t>Poultry</t>
  </si>
  <si>
    <t>Airlines</t>
  </si>
  <si>
    <t>Automobile</t>
  </si>
  <si>
    <t>Call Center</t>
  </si>
  <si>
    <t>Education</t>
  </si>
  <si>
    <t>Medical Services</t>
  </si>
  <si>
    <t>General Trade</t>
  </si>
  <si>
    <t>Hospital/Medical Center</t>
  </si>
  <si>
    <t>FMCG</t>
  </si>
  <si>
    <t>Clinic</t>
  </si>
  <si>
    <t>Construction</t>
  </si>
  <si>
    <t>Energy</t>
  </si>
  <si>
    <t>Rural/Cooperatives</t>
  </si>
  <si>
    <t>Universal/Savings Bank</t>
  </si>
  <si>
    <t>HR/Recruitment</t>
  </si>
  <si>
    <t>Information Technology</t>
  </si>
  <si>
    <t>Manufacturing</t>
  </si>
  <si>
    <t>Media/Advertising</t>
  </si>
  <si>
    <t>Mining</t>
  </si>
  <si>
    <t>Non-Voice BPO/Consulting</t>
  </si>
  <si>
    <t>Pharmacy</t>
  </si>
  <si>
    <t>Real Estate</t>
  </si>
  <si>
    <t>Religious</t>
  </si>
  <si>
    <t>Social Services</t>
  </si>
  <si>
    <t>Travel and Tourism</t>
  </si>
  <si>
    <t>Professional, Scientific and Technical Services</t>
  </si>
  <si>
    <t>Utilities</t>
  </si>
  <si>
    <t>Health and Recreation</t>
  </si>
  <si>
    <t>Information and Communication</t>
  </si>
  <si>
    <t>Other Financial Services</t>
  </si>
  <si>
    <t>Transportation and Storage</t>
  </si>
  <si>
    <t>business process outsourcing</t>
  </si>
  <si>
    <t>Hospitality/Hotels</t>
  </si>
  <si>
    <t>Manpower/Security</t>
  </si>
  <si>
    <t>Restaurants/Food &amp; beverage</t>
  </si>
  <si>
    <t>TRUCKING</t>
  </si>
  <si>
    <t>ADM</t>
  </si>
  <si>
    <t>AIR</t>
  </si>
  <si>
    <t>ATO</t>
  </si>
  <si>
    <t>CCC</t>
  </si>
  <si>
    <t>EDU</t>
  </si>
  <si>
    <t>MED</t>
  </si>
  <si>
    <t>GEN</t>
  </si>
  <si>
    <t>HMC</t>
  </si>
  <si>
    <t>AFF</t>
  </si>
  <si>
    <t>FMG</t>
  </si>
  <si>
    <t>CLI</t>
  </si>
  <si>
    <t>CON</t>
  </si>
  <si>
    <t>EGY</t>
  </si>
  <si>
    <t>RRT</t>
  </si>
  <si>
    <t>USB</t>
  </si>
  <si>
    <t>HHH</t>
  </si>
  <si>
    <t>HRR</t>
  </si>
  <si>
    <t>INT</t>
  </si>
  <si>
    <t>MSC</t>
  </si>
  <si>
    <t>MDS</t>
  </si>
  <si>
    <t>MIN</t>
  </si>
  <si>
    <t>NON</t>
  </si>
  <si>
    <t>PHA</t>
  </si>
  <si>
    <t>REA</t>
  </si>
  <si>
    <t>REL</t>
  </si>
  <si>
    <t>RFB</t>
  </si>
  <si>
    <t>SOC</t>
  </si>
  <si>
    <t>TRU</t>
  </si>
  <si>
    <t>TTO</t>
  </si>
  <si>
    <t>PST</t>
  </si>
  <si>
    <t>MAN</t>
  </si>
  <si>
    <t>UTI</t>
  </si>
  <si>
    <t>HAR</t>
  </si>
  <si>
    <t>ITC</t>
  </si>
  <si>
    <t>OFS</t>
  </si>
  <si>
    <t>TST</t>
  </si>
  <si>
    <t>BPO</t>
  </si>
  <si>
    <t>fancyreyes@gmail.com
8qnl9x8b</t>
  </si>
  <si>
    <t>Nature of Work</t>
  </si>
  <si>
    <t>Industry is displayed as "Others".</t>
  </si>
  <si>
    <t>Industry is displayed as "Administrative".</t>
  </si>
  <si>
    <t>Industry is displayed as "Fishing".</t>
  </si>
  <si>
    <t>Industry is displayed as "Forestry".</t>
  </si>
  <si>
    <t>Industry is displayed as "Growing of Fruits and Veggies".</t>
  </si>
  <si>
    <t>Industry is displayed as "Hog".</t>
  </si>
  <si>
    <t>Industry is displayed as "Poultry".</t>
  </si>
  <si>
    <t>Industry is displayed as "Airlines".</t>
  </si>
  <si>
    <t>Industry is displayed as "Automobile".</t>
  </si>
  <si>
    <t>Industry is displayed as "Call Center".</t>
  </si>
  <si>
    <t>Industry is displayed as "Education".</t>
  </si>
  <si>
    <t>Industry is displayed as "Government".</t>
  </si>
  <si>
    <t>Industry is displayed as "Medical Services".</t>
  </si>
  <si>
    <t>Industry is displayed as "General Trade".</t>
  </si>
  <si>
    <t>Industry is displayed as "Hospital/Medical Center".</t>
  </si>
  <si>
    <t>Industry is displayed as "Agriculture, Forestry and Fishing".</t>
  </si>
  <si>
    <t>Industry is displayed as "FMCG".</t>
  </si>
  <si>
    <t>Industry is displayed as "International Charities, Foundations, and Non-Profit Organizations".</t>
  </si>
  <si>
    <t>Industry is displayed as "Certified Local NPO/NGO".</t>
  </si>
  <si>
    <t>Industry is displayed as "Non-Certified Local NPO/NGO".</t>
  </si>
  <si>
    <t>Industry is displayed as "Clinic".</t>
  </si>
  <si>
    <t>Industry is displayed as "Construction".</t>
  </si>
  <si>
    <t>Industry is displayed as "Education - Private or Non-stock/profit institutions".</t>
  </si>
  <si>
    <t>Industry is displayed as "Education - Public or government ownership or religious organization".</t>
  </si>
  <si>
    <t>Industry is displayed as "Energy".</t>
  </si>
  <si>
    <t>Industry is displayed as "Collection Agencies".</t>
  </si>
  <si>
    <t>Industry is displayed as "Financial Institution (Non-Bank)".</t>
  </si>
  <si>
    <t>Industry is displayed as "Insurance Activities".</t>
  </si>
  <si>
    <t>Industry is displayed as "Lending Company".</t>
  </si>
  <si>
    <t>Industry is displayed as "Pawnshop".</t>
  </si>
  <si>
    <t>Industry is displayed as "Rural/Cooperatives".</t>
  </si>
  <si>
    <t>Industry is displayed as "Universal/Savings Bank".</t>
  </si>
  <si>
    <t>Industry is displayed as "Groceries/Supermarkets".</t>
  </si>
  <si>
    <t>Industry is displayed as "Malls, Retail Shops &amp; Retailer of Gen. Merchandise".</t>
  </si>
  <si>
    <t>Industry is displayed as "Micro Business".</t>
  </si>
  <si>
    <t>Industry is displayed as "Phone Centers".</t>
  </si>
  <si>
    <t>Industry is displayed as "Holding Company".</t>
  </si>
  <si>
    <t>Industry is displayed as "Multi-level Marketing Firms".</t>
  </si>
  <si>
    <t>Industry is displayed as "Sales Person/Agent (Freelance)".</t>
  </si>
  <si>
    <t>Industry is displayed as "Textile Store Owner".</t>
  </si>
  <si>
    <t>Industry is displayed as "Trading (Essentials)".</t>
  </si>
  <si>
    <t>Industry is displayed as "Trading (Non-Essentials incl Motor Vehicles)".</t>
  </si>
  <si>
    <t>Industry is displayed as "Underground Business (Retail Sale of Second-hand Goods, Wholesale of Scraps, etc.)".</t>
  </si>
  <si>
    <t>Industry is displayed as "Gasoline Station".</t>
  </si>
  <si>
    <t>Industry is displayed as "Embassy/Foreign Consulates".</t>
  </si>
  <si>
    <t>Industry is displayed as "Regulatory - BSP, SEC, PSE, PDIC, OIC".</t>
  </si>
  <si>
    <t>Industry is displayed as "SSS/Pag-ibig/GSIS/Philhealth".</t>
  </si>
  <si>
    <t>Industry is displayed as "Government - Others".</t>
  </si>
  <si>
    <t>Industry is displayed as "Arts, Entertainment and Recreation".</t>
  </si>
  <si>
    <t>Industry is displayed as "Human Health and Social Activities".</t>
  </si>
  <si>
    <t>Industry is displayed as "Parlor".</t>
  </si>
  <si>
    <t>Industry is displayed as "Private Hospital or Healthcare Companies".</t>
  </si>
  <si>
    <t>Industry is displayed as "Government Hospital or Health Center".</t>
  </si>
  <si>
    <t>Industry is displayed as "Accommodation (Hotels / Motels / Resorts)".</t>
  </si>
  <si>
    <t>Industry is displayed as "Betting and Gambling-related Activities".</t>
  </si>
  <si>
    <t>Industry is displayed as "Dormitories".</t>
  </si>
  <si>
    <t>Industry is displayed as "HR/Recruitment".</t>
  </si>
  <si>
    <t>Industry is displayed as "Household employees not hired via agency".</t>
  </si>
  <si>
    <t>Industry is displayed as "Shuttle Services / Operators of taxis, jeepneys, tricycles, etc.".</t>
  </si>
  <si>
    <t>Industry is displayed as "Sari-Sari Store".</t>
  </si>
  <si>
    <t>Industry is displayed as "Street Stall".</t>
  </si>
  <si>
    <t>Industry is displayed as "Informal Sector - Others".</t>
  </si>
  <si>
    <t>Industry is displayed as "Computer Consultancy, Programming".</t>
  </si>
  <si>
    <t>Industry is displayed as "Telecommunications".</t>
  </si>
  <si>
    <t>Industry is displayed as "TV, Publishing, etc.".</t>
  </si>
  <si>
    <t>Industry is displayed as "Information Technology".</t>
  </si>
  <si>
    <t>Industry is displayed as "Manpower Agencies".</t>
  </si>
  <si>
    <t>Industry is displayed as "Customer Relations".</t>
  </si>
  <si>
    <t>Industry is displayed as "Private Security".</t>
  </si>
  <si>
    <t>Industry is displayed as "Armament Manufacturers, Dealers and Intermediaries".</t>
  </si>
  <si>
    <t>Industry is displayed as "Manufacture of Refined Petroleum Products".</t>
  </si>
  <si>
    <t>Industry is displayed as "Manufacturing".</t>
  </si>
  <si>
    <t>Industry is displayed as "Media/Advertising".</t>
  </si>
  <si>
    <t>Industry is displayed as "Private Medical Services".</t>
  </si>
  <si>
    <t>Industry is displayed as "Government Medical Services".</t>
  </si>
  <si>
    <t>Industry is displayed as "Military".</t>
  </si>
  <si>
    <t>Industry is displayed as "Mining".</t>
  </si>
  <si>
    <t>Industry is displayed as "Non-Voice BPO/Consulting".</t>
  </si>
  <si>
    <t>Industry is displayed as "Pharmacy".</t>
  </si>
  <si>
    <t>Industry is displayed as "Accounting Firm".</t>
  </si>
  <si>
    <t>Industry is displayed as "Auctioneers".</t>
  </si>
  <si>
    <t>Industry is displayed as "Custom Brokerage Firm".</t>
  </si>
  <si>
    <t>Industry is displayed as "Dealers of Art &amp; Antique".</t>
  </si>
  <si>
    <t>Industry is displayed as "Dealers or Exporters of Jewels/Gem/Precious Metal".</t>
  </si>
  <si>
    <t>Industry is displayed as "Interior Design".</t>
  </si>
  <si>
    <t>Industry is displayed as "Law Firm".</t>
  </si>
  <si>
    <t>Industry is displayed as "Veterinary Activities".</t>
  </si>
  <si>
    <t>Industry is displayed as "Real Estate".</t>
  </si>
  <si>
    <t>Industry is displayed as "Religious".</t>
  </si>
  <si>
    <t>Industry is displayed as "Rental".</t>
  </si>
  <si>
    <t>Industry is displayed as "Restaurants/Food &amp; Beverage".</t>
  </si>
  <si>
    <t>Industry is displayed as "Social Services".</t>
  </si>
  <si>
    <t>Industry is displayed as "Buses, Public Utility Cars, Taxicabs".</t>
  </si>
  <si>
    <t>Industry is displayed as "Freight Truck, Freight Rail Transport, Truck for Hire".</t>
  </si>
  <si>
    <t>Industry is displayed as "Logistics Services".</t>
  </si>
  <si>
    <t>Industry is displayed as "Operation of Toll Roads &amp; Bridges".</t>
  </si>
  <si>
    <t>Industry is displayed as "Parking Garage".</t>
  </si>
  <si>
    <t>Industry is displayed as "Warehouses, Cold Storage".</t>
  </si>
  <si>
    <t>Industry is displayed as "Water Transportation".</t>
  </si>
  <si>
    <t>Industry is displayed as "Travel and Tourism".</t>
  </si>
  <si>
    <t>Industry is displayed as "Electricity, Gas, Steam and Air Conditioning Supply".</t>
  </si>
  <si>
    <t>Industry is displayed as "Water Supply, Sewerage, Waste Mgt &amp; Remediation Activities".</t>
  </si>
  <si>
    <t>Industry is displayed as "Professional, Scientific and Technical Services".</t>
  </si>
  <si>
    <t>Industry is displayed as "Utilities".</t>
  </si>
  <si>
    <t>Forestry</t>
  </si>
  <si>
    <t>Growing of Banana</t>
  </si>
  <si>
    <t>Growing of Fruits, Veggies, Palay excl Banana</t>
  </si>
  <si>
    <t>1. Open the loan application.
2. Select "Others"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</si>
  <si>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"Administrative"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</si>
  <si>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"Fishing"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</si>
  <si>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"Forestry"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</si>
  <si>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"Growing of Banana"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</si>
  <si>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"Growing of Fruits, Veggies, Palay excl Banana"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</si>
  <si>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"Hog"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</si>
  <si>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"Poultry"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</si>
  <si>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"Airlines"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</si>
  <si>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"Automobile"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</si>
  <si>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"Call Center"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</si>
  <si>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"Education"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</si>
  <si>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"Government"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</si>
  <si>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"Medical Services"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</si>
  <si>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"General Trade"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</si>
  <si>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"Hospital/Medical Center"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</si>
  <si>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"Agriculture, Forestry and Fishing"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</si>
  <si>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"FMCG"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</si>
  <si>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"International Charities, Foundations, and Non-Profit Organizations"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</si>
  <si>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"Certified Local NPO/NGO"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</si>
  <si>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"Non-Certified Local NPO/NGO"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</si>
  <si>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"Clinic"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</si>
  <si>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"Construction"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</si>
  <si>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"Education - Private or Non-stock/profit institutions"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</si>
  <si>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"Education - Public or government ownership or religious organization"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</si>
  <si>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"Energy"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</si>
  <si>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"Collection Agencies"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</si>
  <si>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"Financial Institution (Non-Bank)"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</si>
  <si>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"Insurance Activities"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</si>
  <si>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"Lending Company"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</si>
  <si>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"Pawnshop"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</si>
  <si>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"Rural/Cooperatives"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</si>
  <si>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"Universal/Savings Bank"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</si>
  <si>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"Groceries/Supermarkets"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</si>
  <si>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"Malls, Retail Shops &amp; Retailer of Gen. Merchandise"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</si>
  <si>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"Micro Business"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</si>
  <si>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"Phone Centers"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</si>
  <si>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"Holding Company"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</si>
  <si>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"Multi-level Marketing Firms"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</si>
  <si>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"Sales Person/Agent (Freelance)"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</si>
  <si>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"Textile Store Owner"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</si>
  <si>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"Trading (Essentials)"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</si>
  <si>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"Trading (Non-Essentials incl Motor Vehicles)"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</si>
  <si>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"Underground Business (Retail Sale of Second-hand Goods, Wholesale of Scraps, etc.)"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</si>
  <si>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"Gasoline Station"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</si>
  <si>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"Embassy/Foreign Consulates"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</si>
  <si>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"Regulatory - BSP, SEC, PSE, PDIC, OIC"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</si>
  <si>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"SSS/Pag-ibig/GSIS/Philhealth"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</si>
  <si>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"Government - Others"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</si>
  <si>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"Arts, Entertainment and Recreation"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</si>
  <si>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"Human Health and Social Activities"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</si>
  <si>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"Parlor"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</si>
  <si>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"Private Hospital or Healthcare Companies"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</si>
  <si>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"Government Hospital or Health Center"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</si>
  <si>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"Accommodation (Hotels / Motels / Resorts)"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</si>
  <si>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"Betting and Gambling-related Activities"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</si>
  <si>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"Dormitories"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</si>
  <si>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"HR/Recruitment"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</si>
  <si>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"Household employees not hired via agency"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</si>
  <si>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"Shuttle Services / Operators of taxis, jeepneys, tricycles, etc."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</si>
  <si>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"Sari-Sari Store"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</si>
  <si>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"Street Stall"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</si>
  <si>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"Informal Sector - Others"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</si>
  <si>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"Computer Consultancy, Programming"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</si>
  <si>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"Telecommunications"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</si>
  <si>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"TV, Publishing, etc."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</si>
  <si>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"Information Technology"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</si>
  <si>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"Manpower Agencies"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</si>
  <si>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"Customer Relations"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</si>
  <si>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"Private Security"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</si>
  <si>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"Armament Manufacturers, Dealers and Intermediaries"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</si>
  <si>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"Manufacture of Refined Petroleum Products"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</si>
  <si>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"Manufacturing (Essentials)"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</si>
  <si>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"Manufacturing (Non-Essentials)"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</si>
  <si>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"Media/Advertising"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</si>
  <si>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"Private Medical Services"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</si>
  <si>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"Government Medical Services"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</si>
  <si>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"Military"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</si>
  <si>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"Mining"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</si>
  <si>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"Non-Voice BPO/Consulting"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</si>
  <si>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"Pharmacy"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</si>
  <si>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"Accounting Firm"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</si>
  <si>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"Auctioneers"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</si>
  <si>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"Custom Brokerage Firm"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</si>
  <si>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"Dealers of Art &amp; Antique"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</si>
  <si>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"Dealers or Exporters of Jewels/Gem/Precious Metal"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</si>
  <si>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"Interior Design"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</si>
  <si>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"Law Firm"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</si>
  <si>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"Veterinary Activities"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</si>
  <si>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"Real Estate"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</si>
  <si>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"Religious"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</si>
  <si>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"Rental"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</si>
  <si>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"Restaurants/Food &amp; Beverage"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</si>
  <si>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"Social Services"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</si>
  <si>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"Buses, Public Utility Cars, Taxicabs"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</si>
  <si>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"Freight Truck, Freight Rail Transport, Truck for Hire"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</si>
  <si>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"Logistics Services"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</si>
  <si>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"Operation of Toll Roads &amp; Bridges"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</si>
  <si>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"Parking Garage"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</si>
  <si>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"Warehouses, Cold Storage"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</si>
  <si>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"Water Transportation"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</si>
  <si>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"Travel and Tourism"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</si>
  <si>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"Electricity, Gas, Steam and Air Conditioning Supply"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</si>
  <si>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"Water Supply, Sewerage, Waste Mgt &amp; Remediation Activities"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</si>
  <si>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"Professional, Scientific and Technical Services"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</si>
  <si>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"Manufacturing" as the Nature of Work.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</si>
  <si>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"Utilities" as the Nature of Work.
3. Complete the loan application process up to Loan Booking/Disbursement.
4. Complete the required batch process and generate the Loan Portfolio (LP) Report.
5. Verify the value displayed in the Industry column.</t>
  </si>
  <si>
    <t>Industry Types</t>
  </si>
  <si>
    <t>Validate "Hospitality/Hotels" in the new Industry column of the LP Report.</t>
  </si>
  <si>
    <t>Validate "Manpower/Security" in the new Industry column of the LP Report.</t>
  </si>
  <si>
    <t>Validate "TRUCKING" in the new Industry column of the LP Report.</t>
  </si>
  <si>
    <t>Validate "Health and Recreation" in the new Industry column of the LP Report.</t>
  </si>
  <si>
    <t>Validate "Information and Communication" in the new Industry column of the LP Report.</t>
  </si>
  <si>
    <t>Validate "Other Financial Services" in the new Industry column of the LP Report.</t>
  </si>
  <si>
    <t>Validate "Transportation and Storage" in the new Industry column of the LP Report.</t>
  </si>
  <si>
    <t>Validate "Business Process Outsourcing" in the new Industry column of the LP Report.</t>
  </si>
  <si>
    <t>Company Industry Type: "Administrative"</t>
  </si>
  <si>
    <t>Company Industry Type: "Airlines"</t>
  </si>
  <si>
    <t>Company Industry Type: "Automobile"</t>
  </si>
  <si>
    <t>Company Industry Type: "Call Center"</t>
  </si>
  <si>
    <t>Company Industry Type: "Education"</t>
  </si>
  <si>
    <t>Company Industry Type: "Medical Services"</t>
  </si>
  <si>
    <t>Company Industry Type: "General Trade"</t>
  </si>
  <si>
    <t>Company Industry Type: "Hospital/Medical Center"</t>
  </si>
  <si>
    <t>Company Industry Type: "Agriculture, Forestry and Fishing"</t>
  </si>
  <si>
    <t>Company Industry Type: "FMCG"</t>
  </si>
  <si>
    <t>Company Industry Type: "Clinic"</t>
  </si>
  <si>
    <t>Company Industry Type: "Construction"</t>
  </si>
  <si>
    <t>Company Industry Type: "Energy"</t>
  </si>
  <si>
    <t>Company Industry Type: "Rural/Cooperatives"</t>
  </si>
  <si>
    <t>Company Industry Type: "Universal/Savings Bank"</t>
  </si>
  <si>
    <t>Company Industry Type: "Hospitality/Hotels"</t>
  </si>
  <si>
    <t>Company Industry Type: "HR/Recruitment"</t>
  </si>
  <si>
    <t>Company Industry Type: "Information Technology"</t>
  </si>
  <si>
    <t>Company Industry Type: "Manpower/Security"</t>
  </si>
  <si>
    <t>Company Industry Type: "Media/Advertising"</t>
  </si>
  <si>
    <t>Company Industry Type: "Mining"</t>
  </si>
  <si>
    <t>Company Industry Type: "Non-Voice BPO/Consulting"</t>
  </si>
  <si>
    <t>Company Industry Type: "Pharmacy"</t>
  </si>
  <si>
    <t>Company Industry Type: "Real Estate"</t>
  </si>
  <si>
    <t>Company Industry Type: "Religious"</t>
  </si>
  <si>
    <t>Company Industry Type: "Restaurants/Food &amp; Beverage"</t>
  </si>
  <si>
    <t>Company Industry Type: "Social Services"</t>
  </si>
  <si>
    <t>Company Industry Type: "TRUCKING"</t>
  </si>
  <si>
    <t>Company Industry Type: "Travel and Tourism"</t>
  </si>
  <si>
    <t>Company Industry Type: "Professional, Scientific and Technical Services"</t>
  </si>
  <si>
    <t>Company Industry Type: "Manufacturing"</t>
  </si>
  <si>
    <t>Company Industry Type: "Utilities"</t>
  </si>
  <si>
    <t>Company Industry Type: "Health and Recreation"</t>
  </si>
  <si>
    <t>Company Industry Type: "Information and Communication"</t>
  </si>
  <si>
    <t>Company Industry Type: "Other Financial Services"</t>
  </si>
  <si>
    <t>Company Industry Type: "Transportation and Storage"</t>
  </si>
  <si>
    <t>Company Industry Type: "Business Process Outsourcing"</t>
  </si>
  <si>
    <t>1. Open the loan application.
2. Select "Administrative"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</si>
  <si>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"Airlines"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</si>
  <si>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"Automobile"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</si>
  <si>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"Call Center"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</si>
  <si>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"Education"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</si>
  <si>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"Medical Services"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</si>
  <si>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"General Trade"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</si>
  <si>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"Hospital/Medical Center"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</si>
  <si>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"Agriculture, Forestry and Fishing"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</si>
  <si>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"FMCG"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</si>
  <si>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"Clinic"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</si>
  <si>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"Construction"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</si>
  <si>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"Energy"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</si>
  <si>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"Rural/Cooperatives"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</si>
  <si>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"Universal/Savings Bank"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</si>
  <si>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"Hospitality/Hotels"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</si>
  <si>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"HR/Recruitment"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</si>
  <si>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"Information Technology"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</si>
  <si>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"Manpower/Security"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</si>
  <si>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"Media/Advertising"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</si>
  <si>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"Mining"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</si>
  <si>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"Non-Voice BPO/Consulting"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</si>
  <si>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"Pharmacy"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</si>
  <si>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"Real Estate"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</si>
  <si>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"Religious"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</si>
  <si>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"Restaurants/Food &amp; Beverage"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</si>
  <si>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"Social Services"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</si>
  <si>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"TRUCKING"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</si>
  <si>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"Travel and Tourism"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</si>
  <si>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"Professional, Scientific and Technical Services"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</si>
  <si>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"Manufacturing"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</si>
  <si>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"Utilities"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</si>
  <si>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"Health and Recreation"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</si>
  <si>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"Information and Communication"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</si>
  <si>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"Other Financial Services"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</si>
  <si>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"Transportation and Storage" as the Company Industry Type.
3. Complete the loan application process up to Loan Booking/Disbursement.
4. Complete the required batch process and generate the Loan Portfolio (LP) Report.
5. Verify the value displayed in the Industry column.</t>
  </si>
  <si>
    <t>1. Open the loan application.
2. Select "Business Process Outsourcing" as the Company Industry Type.
3. Complete the loan application process up to Loan Booking/Disbursement.
4. Complete the required batch process and generate the Loan Portfolio (LP) Report.
5. Verify the value displayed in the Industry column.</t>
  </si>
  <si>
    <t>Industry is displayed as "Hospitality/Hotels".</t>
  </si>
  <si>
    <t>Industry is displayed as "Manpower/Security".</t>
  </si>
  <si>
    <t>Industry is displayed as "TRUCKING".</t>
  </si>
  <si>
    <t>Industry is displayed as "Health and Recreation".</t>
  </si>
  <si>
    <t>Industry is displayed as "Information and Communication".</t>
  </si>
  <si>
    <t>Industry is displayed as "Other Financial Services".</t>
  </si>
  <si>
    <t>Industry is displayed as "Transportation and Storage".</t>
  </si>
  <si>
    <t>Industry is displayed as "Business Process Outsourcing".</t>
  </si>
  <si>
    <t>Validate the display of the new Industry column in the LP Report (Salad)</t>
  </si>
  <si>
    <t>Validate the display of the new Industry column in the LP Report – Non Salad</t>
  </si>
  <si>
    <t>Validate Industry value when both CUST_INDUSTRY_TYPE and INDUSTRY_TAGGING contain values.</t>
  </si>
  <si>
    <t>Validate Industry derivation for Non-Salary Loan when both CUST_INDUSTRY_TYPE and INDUSTRY_TAGGING contain values.</t>
  </si>
  <si>
    <t>The Industry column displays the value from CUST_INDUSTRY_TYPE.</t>
  </si>
  <si>
    <t>The Industry column displays the value from INDUSTRY_TAGGING.</t>
  </si>
  <si>
    <t>Validate the display of the new Industry column in the LP Report – Salad</t>
  </si>
  <si>
    <t>Total</t>
  </si>
  <si>
    <t>Cashoologan</t>
  </si>
  <si>
    <t>Zuki</t>
  </si>
  <si>
    <t>PM Webtoolkit</t>
  </si>
  <si>
    <t>Online Portal</t>
  </si>
  <si>
    <t>Zac</t>
  </si>
  <si>
    <t>Flexibooking</t>
  </si>
  <si>
    <t>Sms</t>
  </si>
  <si>
    <t>CL</t>
  </si>
  <si>
    <t xml:space="preserve">Customer has an existing Salary Loan and applies for a Personal Loan </t>
  </si>
  <si>
    <t xml:space="preserve">Customer has an existing Salary Loan and applies for a Cash4Cash Loan </t>
  </si>
  <si>
    <t>Customer has an existing Salary Loan and applies for a Cash Hoologan Loan</t>
  </si>
  <si>
    <t>Customer has an existing Salary Loan and applies for a Motorzikloan Loan</t>
  </si>
  <si>
    <t>Customer has an existing Non-Salary Loan and applies for a SL01 Loan</t>
  </si>
  <si>
    <t>Customer has an existing Non-Salary Loan and applies for a SL02 Loan</t>
  </si>
  <si>
    <t>Customer has an existing Non-Salary Loan and applies for a SL03 Loan</t>
  </si>
  <si>
    <t>Customer has an existing Non-Salary Loan and applies for a SL04 Loan</t>
  </si>
  <si>
    <t>Customer has an existing Non-Salary Loan and applies for a SL05 Loan</t>
  </si>
  <si>
    <t>Government</t>
  </si>
  <si>
    <t>International Charities, Foundations, and Non-Profit Organizations</t>
  </si>
  <si>
    <t>Certified Local NPO/NGO</t>
  </si>
  <si>
    <t>Non-Certified Local NPO/NGO</t>
  </si>
  <si>
    <t>Education - Private or Non-stock/profit institutions</t>
  </si>
  <si>
    <t>Education - Public or government ownership or religious organization</t>
  </si>
  <si>
    <t>Collection Agencies</t>
  </si>
  <si>
    <t>Financial Institution (Non-Bank)</t>
  </si>
  <si>
    <t>Insurance Activities</t>
  </si>
  <si>
    <t>Lending Company</t>
  </si>
  <si>
    <t>Pawnshop</t>
  </si>
  <si>
    <t>Groceries/Supermarkets</t>
  </si>
  <si>
    <t>Malls, Retail Shops &amp; Retailer of Gen. Merchandise</t>
  </si>
  <si>
    <t>Micro Business</t>
  </si>
  <si>
    <t>Phone Centers</t>
  </si>
  <si>
    <t>Holding Company</t>
  </si>
  <si>
    <t>Multi-level Marketing Firms</t>
  </si>
  <si>
    <t>Sales Person/Agent (Freelance)</t>
  </si>
  <si>
    <t>Textile Store Owner</t>
  </si>
  <si>
    <t>Trading (Essentials)</t>
  </si>
  <si>
    <t>Trading (Non-Essentials incl Motor Vehicles)</t>
  </si>
  <si>
    <t>Underground Business (Retail Sale of Second-hand Goods, Wholesale of Scraps, etc.)</t>
  </si>
  <si>
    <t>Gasoline Station</t>
  </si>
  <si>
    <t>Embassy/Foreign Consulates</t>
  </si>
  <si>
    <t>Regulatory - BSP, SEC, PSE, PDIC, OIC</t>
  </si>
  <si>
    <t>SSS/Pag-ibig/GSIS/Philhealth</t>
  </si>
  <si>
    <t>Government - Others</t>
  </si>
  <si>
    <t>Arts, Entertainment and Recreation</t>
  </si>
  <si>
    <t>Human Health and Social Activities</t>
  </si>
  <si>
    <t>Parlor</t>
  </si>
  <si>
    <t>Private Hospital or Healthcare Companies</t>
  </si>
  <si>
    <t>Government Hospital or Health Center</t>
  </si>
  <si>
    <t>Accommodation (Hotels / Motels / Resorts)</t>
  </si>
  <si>
    <t>Betting and Gambling-related Activities</t>
  </si>
  <si>
    <t>Dormitories</t>
  </si>
  <si>
    <t>Household employees not hired via agency</t>
  </si>
  <si>
    <t>Shuttle Services / Operators of taxis, jeepneys, tricycles, etc.</t>
  </si>
  <si>
    <t>Sari-Sari Store</t>
  </si>
  <si>
    <t>Street Stall</t>
  </si>
  <si>
    <t>Informal Sector - Others</t>
  </si>
  <si>
    <t>Computer Consultancy, Programming</t>
  </si>
  <si>
    <t>Telecommunications</t>
  </si>
  <si>
    <t>TV, Publishing, etc.</t>
  </si>
  <si>
    <t>Manpower Agencies</t>
  </si>
  <si>
    <t>Customer Relations</t>
  </si>
  <si>
    <t>Private Security</t>
  </si>
  <si>
    <t>Armament Manufacturers, Dealers and Intermediaries</t>
  </si>
  <si>
    <t>Manufacture of Refined Petroleum Products</t>
  </si>
  <si>
    <t>Manufacturing (Essentials)</t>
  </si>
  <si>
    <t>Manufacturing (Non-Essentials)</t>
  </si>
  <si>
    <t>Private Medical Services</t>
  </si>
  <si>
    <t>Government Medical Services</t>
  </si>
  <si>
    <t>Military</t>
  </si>
  <si>
    <t>Accounting Firm</t>
  </si>
  <si>
    <t>Auctioneers</t>
  </si>
  <si>
    <t>Custom Brokerage Firm</t>
  </si>
  <si>
    <t>Dealers of Art &amp; Antique</t>
  </si>
  <si>
    <t>Dealers or Exporters of Jewels/Gem/Precious Metal</t>
  </si>
  <si>
    <t>Interior Design</t>
  </si>
  <si>
    <t>Law Firm</t>
  </si>
  <si>
    <t>Veterinary Activities</t>
  </si>
  <si>
    <t>Rental</t>
  </si>
  <si>
    <t>Restaurants/Food &amp; Beverage</t>
  </si>
  <si>
    <t>Buses, Public Utility Cars, Taxicabs</t>
  </si>
  <si>
    <t>Freight Truck, Freight Rail Transport, Truck for Hire</t>
  </si>
  <si>
    <t>Logistics Services</t>
  </si>
  <si>
    <t>Operation of Toll Roads &amp; Bridges</t>
  </si>
  <si>
    <t>Parking Garage</t>
  </si>
  <si>
    <t>Warehouses, Cold Storage</t>
  </si>
  <si>
    <t>Water Transportation</t>
  </si>
  <si>
    <t>Electricity, Gas, Steam and Air Conditioning Supply</t>
  </si>
  <si>
    <t>Water Supply, Sewerage, Waste Mgt &amp; Remediation Activities</t>
  </si>
  <si>
    <t>Test data Preparation</t>
  </si>
  <si>
    <t>TC Count</t>
  </si>
  <si>
    <t>Test Effort</t>
  </si>
  <si>
    <t>Hours</t>
  </si>
  <si>
    <t>Mandays</t>
  </si>
  <si>
    <t>Zuki Applications</t>
  </si>
  <si>
    <t>PM WebTool</t>
  </si>
  <si>
    <t>Flexibooking (File Upload)</t>
  </si>
  <si>
    <t>Flexibooking (Cif booking)</t>
  </si>
  <si>
    <t>Zac Application</t>
  </si>
  <si>
    <t>SMS</t>
  </si>
  <si>
    <t>TD Count</t>
  </si>
  <si>
    <t>-</t>
  </si>
  <si>
    <t>Flexibooking ( File Upload)</t>
  </si>
  <si>
    <t>Bulk Upload</t>
  </si>
  <si>
    <t>Option 1. QA will prepare all test data. while the BU will validate only the LP reports during UAT execution.</t>
  </si>
  <si>
    <t>Test Execution</t>
  </si>
  <si>
    <t>TD Effort</t>
  </si>
  <si>
    <t>ICMS Validation</t>
  </si>
  <si>
    <t>LP Validation</t>
  </si>
  <si>
    <t xml:space="preserve"> Assumption: 15 mins ICMS Validation</t>
  </si>
  <si>
    <t>BU</t>
  </si>
  <si>
    <t>Activites</t>
  </si>
  <si>
    <t>BU Capacity (Hours)</t>
  </si>
  <si>
    <t>Test Efforts</t>
  </si>
  <si>
    <t>Total num of BU personel</t>
  </si>
  <si>
    <t>Option 2. BU will assist QA in preparing test data and will also validate the  LP reports during UAT execution</t>
  </si>
  <si>
    <t>Scenario</t>
  </si>
  <si>
    <t>Current(QA Only)</t>
  </si>
  <si>
    <t>With BU assistance</t>
  </si>
  <si>
    <t xml:space="preserve"> Assumption: 15 mins ICMS</t>
  </si>
  <si>
    <t>Option 3.  QA will prepare all test data and perform the majority of the UAT execution</t>
  </si>
  <si>
    <t xml:space="preserve">QA </t>
  </si>
  <si>
    <t xml:space="preserve"> Assumption: BU have 2hrs for testdata prep</t>
  </si>
  <si>
    <t>Option 2. BU assist in QA in Test Data Prep (2 BU x 2 hr/day)</t>
  </si>
  <si>
    <t>QA Reduction</t>
  </si>
  <si>
    <t>No BU assistance</t>
  </si>
  <si>
    <t>2 BU resources</t>
  </si>
  <si>
    <t>Assumption: QA = 7 days, BU =  2 resources x 2 hrs/day = 4 hrs (parallel assistance)</t>
  </si>
  <si>
    <t>QA Effort(hrs)</t>
  </si>
  <si>
    <t>Cust_Industry</t>
  </si>
  <si>
    <t>Company Industry</t>
  </si>
  <si>
    <t>Industry (IT Recommendation)</t>
  </si>
  <si>
    <t>industry</t>
  </si>
  <si>
    <t>industry_desc</t>
  </si>
  <si>
    <t>id</t>
  </si>
  <si>
    <t>code</t>
  </si>
  <si>
    <t>name</t>
  </si>
  <si>
    <t> </t>
  </si>
  <si>
    <t>Legend</t>
  </si>
  <si>
    <t>Description</t>
  </si>
  <si>
    <t>Different description of values of Cust_Industry and Company industry</t>
  </si>
  <si>
    <t>Some description in Cust_industry is categorized</t>
  </si>
  <si>
    <t>New - for further asssessment</t>
  </si>
  <si>
    <t>Growing of Fruits and Veggies</t>
  </si>
  <si>
    <t>Government - others</t>
  </si>
  <si>
    <t>CIF Booking</t>
  </si>
  <si>
    <t>Loan Booking</t>
  </si>
  <si>
    <t>PM WebTool File Upload</t>
  </si>
  <si>
    <t>Loan Disbursement</t>
  </si>
  <si>
    <t>Pre UAT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</si>
</sst>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Segoe UI"/>
      <family val="2"/>
    </font>
    <font>
      <sz val="11"/>
      <color rgb="FF000000"/>
      <name val="Segoe UI"/>
      <family val="2"/>
    </font>
    <font>
      <b/>
      <sz val="11"/>
      <color theme="0"/>
      <name val="Segoe UI"/>
      <family val="2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i/>
      <sz val="10"/>
      <color theme="1"/>
      <name val="Segoe UI"/>
      <family val="2"/>
    </font>
    <font>
      <b/>
      <sz val="11"/>
      <color theme="1"/>
      <name val="Segoe UI"/>
      <family val="2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0000"/>
      <name val="Calibri"/>
      <family val="2"/>
    </font>
    <font>
      <b/>
      <sz val="14"/>
      <color theme="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D9E1F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7" tint="0.59999389629810485"/>
      </top>
      <bottom style="thin">
        <color rgb="FF000000"/>
      </bottom>
      <diagonal/>
    </border>
    <border>
      <left/>
      <right style="medium">
        <color theme="7" tint="0.59999389629810485"/>
      </right>
      <top style="medium">
        <color theme="7" tint="0.59999389629810485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rgb="FF000000"/>
      </left>
      <right style="medium">
        <color theme="7" tint="0.59999389629810485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14" fillId="0" borderId="0"/>
    <xf numFmtId="0" fontId="15" fillId="0" borderId="0" applyNumberFormat="0" applyFill="0" applyBorder="0" applyAlignment="0" applyProtection="0"/>
    <xf numFmtId="0" fontId="19" fillId="0" borderId="0">
      <alignment vertical="center"/>
    </xf>
  </cellStyleXfs>
  <cellXfs count="305">
    <xf numFmtId="0" fontId="0" fillId="0" borderId="0" xfId="0"/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1" fillId="3" borderId="3" xfId="0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top"/>
    </xf>
    <xf numFmtId="0" fontId="0" fillId="0" borderId="4" xfId="0" applyBorder="1" applyAlignment="1">
      <alignment vertical="top" wrapText="1"/>
    </xf>
    <xf numFmtId="12" fontId="1" fillId="3" borderId="3" xfId="0" applyNumberFormat="1" applyFont="1" applyFill="1" applyBorder="1" applyAlignment="1">
      <alignment horizontal="center" vertical="center"/>
    </xf>
    <xf numFmtId="12" fontId="0" fillId="0" borderId="2" xfId="0" applyNumberFormat="1" applyBorder="1" applyAlignment="1">
      <alignment horizontal="center" vertical="top" wrapText="1"/>
    </xf>
    <xf numFmtId="12" fontId="0" fillId="0" borderId="4" xfId="0" applyNumberFormat="1" applyBorder="1" applyAlignment="1">
      <alignment horizontal="center" vertical="top" wrapText="1"/>
    </xf>
    <xf numFmtId="12" fontId="0" fillId="0" borderId="0" xfId="0" applyNumberFormat="1" applyAlignment="1">
      <alignment horizont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vertical="top"/>
    </xf>
    <xf numFmtId="0" fontId="2" fillId="0" borderId="6" xfId="0" applyFont="1" applyBorder="1"/>
    <xf numFmtId="0" fontId="6" fillId="5" borderId="1" xfId="0" applyFont="1" applyFill="1" applyBorder="1"/>
    <xf numFmtId="0" fontId="2" fillId="0" borderId="1" xfId="0" applyFont="1" applyBorder="1"/>
    <xf numFmtId="0" fontId="2" fillId="0" borderId="5" xfId="0" applyFont="1" applyBorder="1"/>
    <xf numFmtId="1" fontId="0" fillId="0" borderId="0" xfId="0" applyNumberFormat="1"/>
    <xf numFmtId="0" fontId="3" fillId="0" borderId="0" xfId="0" applyFont="1"/>
    <xf numFmtId="0" fontId="9" fillId="2" borderId="12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top"/>
    </xf>
    <xf numFmtId="1" fontId="10" fillId="0" borderId="17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7" xfId="0" applyFont="1" applyBorder="1" applyAlignment="1">
      <alignment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14" fontId="7" fillId="0" borderId="1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top"/>
    </xf>
    <xf numFmtId="0" fontId="10" fillId="0" borderId="17" xfId="0" applyFont="1" applyBorder="1" applyAlignment="1">
      <alignment horizontal="left" vertical="top" wrapText="1"/>
    </xf>
    <xf numFmtId="0" fontId="7" fillId="6" borderId="0" xfId="0" applyFont="1" applyFill="1"/>
    <xf numFmtId="0" fontId="7" fillId="6" borderId="17" xfId="0" applyFont="1" applyFill="1" applyBorder="1"/>
    <xf numFmtId="0" fontId="0" fillId="0" borderId="1" xfId="0" applyBorder="1"/>
    <xf numFmtId="1" fontId="0" fillId="0" borderId="1" xfId="0" applyNumberFormat="1" applyBorder="1"/>
    <xf numFmtId="1" fontId="4" fillId="0" borderId="1" xfId="0" applyNumberFormat="1" applyFont="1" applyBorder="1"/>
    <xf numFmtId="0" fontId="9" fillId="8" borderId="18" xfId="0" applyFont="1" applyFill="1" applyBorder="1" applyAlignment="1">
      <alignment horizontal="center" vertical="center"/>
    </xf>
    <xf numFmtId="0" fontId="9" fillId="8" borderId="18" xfId="0" applyFont="1" applyFill="1" applyBorder="1"/>
    <xf numFmtId="0" fontId="9" fillId="8" borderId="18" xfId="0" applyFont="1" applyFill="1" applyBorder="1" applyAlignment="1">
      <alignment horizontal="center" vertical="center" wrapText="1"/>
    </xf>
    <xf numFmtId="0" fontId="13" fillId="6" borderId="0" xfId="0" applyFont="1" applyFill="1"/>
    <xf numFmtId="0" fontId="9" fillId="8" borderId="20" xfId="0" applyFont="1" applyFill="1" applyBorder="1"/>
    <xf numFmtId="0" fontId="9" fillId="8" borderId="23" xfId="0" applyFont="1" applyFill="1" applyBorder="1"/>
    <xf numFmtId="0" fontId="9" fillId="8" borderId="20" xfId="0" applyFont="1" applyFill="1" applyBorder="1" applyAlignment="1">
      <alignment horizontal="center" vertical="center"/>
    </xf>
    <xf numFmtId="0" fontId="9" fillId="8" borderId="22" xfId="0" applyFont="1" applyFill="1" applyBorder="1" applyAlignment="1">
      <alignment horizontal="center" vertical="center"/>
    </xf>
    <xf numFmtId="0" fontId="7" fillId="6" borderId="24" xfId="0" applyFont="1" applyFill="1" applyBorder="1"/>
    <xf numFmtId="0" fontId="9" fillId="2" borderId="0" xfId="0" applyFont="1" applyFill="1" applyAlignment="1">
      <alignment horizontal="center" vertical="center"/>
    </xf>
    <xf numFmtId="0" fontId="10" fillId="0" borderId="25" xfId="0" applyFont="1" applyBorder="1" applyAlignment="1">
      <alignment horizontal="center" vertical="top"/>
    </xf>
    <xf numFmtId="0" fontId="10" fillId="0" borderId="25" xfId="0" applyFont="1" applyBorder="1" applyAlignment="1">
      <alignment horizontal="center" vertical="center" wrapText="1"/>
    </xf>
    <xf numFmtId="49" fontId="12" fillId="0" borderId="25" xfId="0" applyNumberFormat="1" applyFont="1" applyBorder="1" applyAlignment="1">
      <alignment vertical="top" wrapText="1"/>
    </xf>
    <xf numFmtId="0" fontId="8" fillId="0" borderId="2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10" fillId="0" borderId="25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9" fillId="6" borderId="18" xfId="0" applyFont="1" applyFill="1" applyBorder="1"/>
    <xf numFmtId="0" fontId="9" fillId="6" borderId="20" xfId="0" applyFont="1" applyFill="1" applyBorder="1"/>
    <xf numFmtId="0" fontId="9" fillId="6" borderId="22" xfId="0" applyFont="1" applyFill="1" applyBorder="1"/>
    <xf numFmtId="0" fontId="9" fillId="6" borderId="21" xfId="0" applyFont="1" applyFill="1" applyBorder="1"/>
    <xf numFmtId="0" fontId="9" fillId="6" borderId="23" xfId="0" applyFont="1" applyFill="1" applyBorder="1"/>
    <xf numFmtId="0" fontId="9" fillId="6" borderId="19" xfId="0" applyFont="1" applyFill="1" applyBorder="1"/>
    <xf numFmtId="0" fontId="9" fillId="6" borderId="24" xfId="0" applyFont="1" applyFill="1" applyBorder="1"/>
    <xf numFmtId="0" fontId="11" fillId="0" borderId="25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6" fillId="0" borderId="26" xfId="0" applyFont="1" applyBorder="1" applyAlignment="1">
      <alignment vertical="center"/>
    </xf>
    <xf numFmtId="0" fontId="16" fillId="0" borderId="26" xfId="0" applyFont="1" applyBorder="1" applyAlignment="1">
      <alignment vertical="center" wrapText="1"/>
    </xf>
    <xf numFmtId="0" fontId="16" fillId="9" borderId="26" xfId="0" applyFont="1" applyFill="1" applyBorder="1" applyAlignment="1">
      <alignment vertical="center" wrapText="1"/>
    </xf>
    <xf numFmtId="0" fontId="0" fillId="0" borderId="0" xfId="0" applyAlignment="1">
      <alignment horizontal="center" vertical="top" wrapText="1"/>
    </xf>
    <xf numFmtId="0" fontId="16" fillId="0" borderId="1" xfId="0" applyFont="1" applyBorder="1" applyAlignment="1">
      <alignment vertical="center" wrapText="1"/>
    </xf>
    <xf numFmtId="0" fontId="16" fillId="10" borderId="26" xfId="0" applyFont="1" applyFill="1" applyBorder="1" applyAlignment="1">
      <alignment vertical="center"/>
    </xf>
    <xf numFmtId="0" fontId="16" fillId="0" borderId="27" xfId="0" applyFont="1" applyBorder="1" applyAlignment="1">
      <alignment vertical="center"/>
    </xf>
    <xf numFmtId="0" fontId="16" fillId="10" borderId="26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7" fillId="10" borderId="26" xfId="0" applyFont="1" applyFill="1" applyBorder="1" applyAlignment="1">
      <alignment vertical="center"/>
    </xf>
    <xf numFmtId="0" fontId="17" fillId="10" borderId="26" xfId="0" applyFont="1" applyFill="1" applyBorder="1" applyAlignment="1">
      <alignment vertical="center" wrapText="1"/>
    </xf>
    <xf numFmtId="0" fontId="4" fillId="0" borderId="0" xfId="0" applyFont="1"/>
    <xf numFmtId="0" fontId="15" fillId="0" borderId="0" xfId="2" applyAlignment="1">
      <alignment wrapText="1"/>
    </xf>
    <xf numFmtId="0" fontId="16" fillId="0" borderId="26" xfId="0" applyFont="1" applyBorder="1" applyAlignment="1">
      <alignment horizontal="center" vertical="center" wrapText="1"/>
    </xf>
    <xf numFmtId="0" fontId="16" fillId="10" borderId="26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1" fillId="0" borderId="28" xfId="0" applyFont="1" applyBorder="1" applyAlignment="1">
      <alignment horizontal="left" vertical="center" wrapText="1"/>
    </xf>
    <xf numFmtId="0" fontId="0" fillId="0" borderId="29" xfId="0" applyBorder="1"/>
    <xf numFmtId="0" fontId="11" fillId="0" borderId="1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" fontId="10" fillId="0" borderId="30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top" wrapText="1"/>
    </xf>
    <xf numFmtId="49" fontId="12" fillId="0" borderId="31" xfId="0" applyNumberFormat="1" applyFont="1" applyBorder="1" applyAlignment="1">
      <alignment vertical="top" wrapText="1"/>
    </xf>
    <xf numFmtId="0" fontId="0" fillId="0" borderId="32" xfId="0" applyBorder="1"/>
    <xf numFmtId="0" fontId="0" fillId="0" borderId="1" xfId="0" applyBorder="1" applyAlignment="1">
      <alignment wrapText="1"/>
    </xf>
    <xf numFmtId="0" fontId="10" fillId="0" borderId="3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49" fontId="12" fillId="0" borderId="32" xfId="0" applyNumberFormat="1" applyFont="1" applyBorder="1" applyAlignment="1">
      <alignment vertical="top" wrapText="1"/>
    </xf>
    <xf numFmtId="0" fontId="0" fillId="0" borderId="33" xfId="0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9" fillId="6" borderId="35" xfId="0" applyFont="1" applyFill="1" applyBorder="1"/>
    <xf numFmtId="0" fontId="0" fillId="6" borderId="1" xfId="0" applyFill="1" applyBorder="1"/>
    <xf numFmtId="0" fontId="13" fillId="6" borderId="0" xfId="0" applyFont="1" applyFill="1" applyAlignment="1">
      <alignment wrapText="1"/>
    </xf>
    <xf numFmtId="0" fontId="9" fillId="8" borderId="20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wrapText="1"/>
    </xf>
    <xf numFmtId="0" fontId="9" fillId="6" borderId="18" xfId="0" applyFont="1" applyFill="1" applyBorder="1" applyAlignment="1">
      <alignment wrapText="1"/>
    </xf>
    <xf numFmtId="0" fontId="9" fillId="6" borderId="21" xfId="0" applyFont="1" applyFill="1" applyBorder="1" applyAlignment="1">
      <alignment wrapText="1"/>
    </xf>
    <xf numFmtId="0" fontId="9" fillId="6" borderId="20" xfId="0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7" fillId="6" borderId="1" xfId="0" applyFont="1" applyFill="1" applyBorder="1"/>
    <xf numFmtId="0" fontId="0" fillId="12" borderId="1" xfId="0" applyFill="1" applyBorder="1"/>
    <xf numFmtId="0" fontId="0" fillId="12" borderId="1" xfId="0" applyFill="1" applyBorder="1" applyAlignment="1">
      <alignment wrapText="1"/>
    </xf>
    <xf numFmtId="0" fontId="0" fillId="6" borderId="0" xfId="0" applyFill="1"/>
    <xf numFmtId="0" fontId="7" fillId="12" borderId="1" xfId="0" applyFont="1" applyFill="1" applyBorder="1"/>
    <xf numFmtId="0" fontId="7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1" borderId="1" xfId="0" applyFont="1" applyFill="1" applyBorder="1"/>
    <xf numFmtId="0" fontId="10" fillId="0" borderId="30" xfId="0" applyFont="1" applyBorder="1" applyAlignment="1">
      <alignment horizontal="center" vertical="center" wrapText="1"/>
    </xf>
    <xf numFmtId="0" fontId="0" fillId="0" borderId="32" xfId="0" applyBorder="1" applyAlignment="1">
      <alignment vertical="top"/>
    </xf>
    <xf numFmtId="0" fontId="10" fillId="0" borderId="34" xfId="0" applyFont="1" applyBorder="1" applyAlignment="1">
      <alignment horizontal="center" vertical="center" wrapText="1"/>
    </xf>
    <xf numFmtId="0" fontId="0" fillId="0" borderId="33" xfId="0" applyBorder="1" applyAlignment="1">
      <alignment vertical="top"/>
    </xf>
    <xf numFmtId="0" fontId="18" fillId="6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6" borderId="1" xfId="0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0" fontId="0" fillId="12" borderId="1" xfId="0" applyFill="1" applyBorder="1" applyAlignment="1">
      <alignment horizontal="left" vertical="top"/>
    </xf>
    <xf numFmtId="0" fontId="0" fillId="12" borderId="1" xfId="0" applyFill="1" applyBorder="1" applyAlignment="1">
      <alignment horizontal="left" vertical="top" wrapText="1"/>
    </xf>
    <xf numFmtId="0" fontId="7" fillId="6" borderId="1" xfId="0" applyFont="1" applyFill="1" applyBorder="1" applyAlignment="1">
      <alignment wrapText="1"/>
    </xf>
    <xf numFmtId="0" fontId="7" fillId="12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/>
    </xf>
    <xf numFmtId="0" fontId="20" fillId="16" borderId="38" xfId="0" applyFont="1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42" xfId="0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0" fontId="20" fillId="6" borderId="0" xfId="0" applyFont="1" applyFill="1" applyAlignment="1">
      <alignment vertical="center"/>
    </xf>
    <xf numFmtId="0" fontId="19" fillId="0" borderId="0" xfId="3">
      <alignment vertical="center"/>
    </xf>
    <xf numFmtId="0" fontId="16" fillId="0" borderId="27" xfId="3" applyFont="1" applyBorder="1">
      <alignment vertical="center"/>
    </xf>
    <xf numFmtId="0" fontId="16" fillId="0" borderId="26" xfId="3" applyFont="1" applyBorder="1">
      <alignment vertical="center"/>
    </xf>
    <xf numFmtId="0" fontId="16" fillId="18" borderId="26" xfId="3" applyFont="1" applyFill="1" applyBorder="1">
      <alignment vertical="center"/>
    </xf>
    <xf numFmtId="0" fontId="16" fillId="9" borderId="26" xfId="3" applyFont="1" applyFill="1" applyBorder="1">
      <alignment vertical="center"/>
    </xf>
    <xf numFmtId="0" fontId="16" fillId="10" borderId="26" xfId="3" applyFont="1" applyFill="1" applyBorder="1">
      <alignment vertical="center"/>
    </xf>
    <xf numFmtId="0" fontId="16" fillId="0" borderId="43" xfId="3" applyFont="1" applyBorder="1">
      <alignment vertical="center"/>
    </xf>
    <xf numFmtId="0" fontId="16" fillId="0" borderId="46" xfId="3" applyFont="1" applyBorder="1">
      <alignment vertical="center"/>
    </xf>
    <xf numFmtId="0" fontId="16" fillId="0" borderId="33" xfId="3" applyFont="1" applyBorder="1">
      <alignment vertical="center"/>
    </xf>
    <xf numFmtId="0" fontId="16" fillId="0" borderId="0" xfId="3" applyFont="1">
      <alignment vertical="center"/>
    </xf>
    <xf numFmtId="0" fontId="16" fillId="10" borderId="0" xfId="3" applyFont="1" applyFill="1">
      <alignment vertical="center"/>
    </xf>
    <xf numFmtId="0" fontId="16" fillId="18" borderId="0" xfId="3" applyFont="1" applyFill="1">
      <alignment vertical="center"/>
    </xf>
    <xf numFmtId="0" fontId="22" fillId="0" borderId="27" xfId="3" applyFont="1" applyBorder="1" applyAlignment="1">
      <alignment horizontal="center" vertical="center"/>
    </xf>
    <xf numFmtId="0" fontId="22" fillId="0" borderId="26" xfId="3" applyFont="1" applyBorder="1" applyAlignment="1">
      <alignment horizontal="center" vertical="center"/>
    </xf>
    <xf numFmtId="0" fontId="23" fillId="17" borderId="33" xfId="3" applyFont="1" applyFill="1" applyBorder="1" applyAlignment="1">
      <alignment horizontal="center" vertical="center"/>
    </xf>
    <xf numFmtId="0" fontId="16" fillId="0" borderId="27" xfId="3" applyFont="1" applyBorder="1" applyAlignment="1">
      <alignment horizontal="center" vertical="center"/>
    </xf>
    <xf numFmtId="0" fontId="16" fillId="18" borderId="27" xfId="3" applyFont="1" applyFill="1" applyBorder="1" applyAlignment="1">
      <alignment horizontal="center" vertical="center"/>
    </xf>
    <xf numFmtId="0" fontId="16" fillId="10" borderId="27" xfId="3" applyFont="1" applyFill="1" applyBorder="1" applyAlignment="1">
      <alignment horizontal="center" vertical="center"/>
    </xf>
    <xf numFmtId="0" fontId="16" fillId="0" borderId="47" xfId="3" applyFont="1" applyBorder="1" applyAlignment="1">
      <alignment horizontal="center" vertical="center"/>
    </xf>
    <xf numFmtId="0" fontId="16" fillId="0" borderId="45" xfId="3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/>
    </xf>
    <xf numFmtId="0" fontId="16" fillId="0" borderId="37" xfId="3" applyFont="1" applyBorder="1" applyAlignment="1">
      <alignment horizontal="center" vertical="center"/>
    </xf>
    <xf numFmtId="0" fontId="22" fillId="0" borderId="0" xfId="3" applyFont="1">
      <alignment vertical="center"/>
    </xf>
    <xf numFmtId="0" fontId="19" fillId="19" borderId="0" xfId="3" applyFill="1">
      <alignment vertical="center"/>
    </xf>
    <xf numFmtId="0" fontId="0" fillId="0" borderId="17" xfId="0" applyBorder="1"/>
    <xf numFmtId="0" fontId="0" fillId="6" borderId="1" xfId="0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1" fillId="14" borderId="0" xfId="0" applyFont="1" applyFill="1" applyAlignment="1">
      <alignment horizontal="center"/>
    </xf>
    <xf numFmtId="0" fontId="0" fillId="6" borderId="17" xfId="0" applyFill="1" applyBorder="1" applyAlignment="1">
      <alignment horizontal="center"/>
    </xf>
    <xf numFmtId="0" fontId="21" fillId="4" borderId="0" xfId="0" applyFont="1" applyFill="1" applyAlignment="1">
      <alignment horizontal="center" vertical="center"/>
    </xf>
    <xf numFmtId="2" fontId="0" fillId="6" borderId="17" xfId="0" applyNumberFormat="1" applyFill="1" applyBorder="1" applyAlignment="1">
      <alignment horizontal="center"/>
    </xf>
    <xf numFmtId="2" fontId="0" fillId="5" borderId="17" xfId="0" applyNumberFormat="1" applyFill="1" applyBorder="1" applyAlignment="1">
      <alignment horizontal="center"/>
    </xf>
    <xf numFmtId="164" fontId="0" fillId="6" borderId="17" xfId="0" applyNumberFormat="1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42" xfId="0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2" fontId="0" fillId="6" borderId="30" xfId="0" applyNumberFormat="1" applyFill="1" applyBorder="1" applyAlignment="1">
      <alignment horizontal="center"/>
    </xf>
    <xf numFmtId="2" fontId="0" fillId="6" borderId="34" xfId="0" applyNumberFormat="1" applyFill="1" applyBorder="1" applyAlignment="1">
      <alignment horizontal="center"/>
    </xf>
    <xf numFmtId="2" fontId="0" fillId="6" borderId="30" xfId="0" applyNumberFormat="1" applyFill="1" applyBorder="1" applyAlignment="1">
      <alignment horizontal="center" vertical="center"/>
    </xf>
    <xf numFmtId="2" fontId="0" fillId="6" borderId="34" xfId="0" applyNumberFormat="1" applyFill="1" applyBorder="1" applyAlignment="1">
      <alignment horizontal="center" vertical="center"/>
    </xf>
    <xf numFmtId="2" fontId="0" fillId="6" borderId="32" xfId="0" applyNumberFormat="1" applyFill="1" applyBorder="1" applyAlignment="1">
      <alignment horizontal="center"/>
    </xf>
    <xf numFmtId="2" fontId="0" fillId="6" borderId="33" xfId="0" applyNumberFormat="1" applyFill="1" applyBorder="1" applyAlignment="1">
      <alignment horizontal="center"/>
    </xf>
    <xf numFmtId="0" fontId="20" fillId="16" borderId="40" xfId="0" applyFont="1" applyFill="1" applyBorder="1" applyAlignment="1">
      <alignment horizontal="center"/>
    </xf>
    <xf numFmtId="0" fontId="3" fillId="6" borderId="41" xfId="0" applyFont="1" applyFill="1" applyBorder="1" applyAlignment="1">
      <alignment horizontal="center"/>
    </xf>
    <xf numFmtId="0" fontId="0" fillId="6" borderId="41" xfId="0" applyFill="1" applyBorder="1" applyAlignment="1">
      <alignment horizontal="center"/>
    </xf>
    <xf numFmtId="0" fontId="3" fillId="12" borderId="32" xfId="0" applyFont="1" applyFill="1" applyBorder="1" applyAlignment="1">
      <alignment horizontal="center"/>
    </xf>
    <xf numFmtId="0" fontId="3" fillId="12" borderId="36" xfId="0" applyFont="1" applyFill="1" applyBorder="1" applyAlignment="1">
      <alignment horizontal="center"/>
    </xf>
    <xf numFmtId="0" fontId="3" fillId="12" borderId="33" xfId="0" applyFont="1" applyFill="1" applyBorder="1" applyAlignment="1">
      <alignment horizontal="center"/>
    </xf>
    <xf numFmtId="1" fontId="0" fillId="12" borderId="32" xfId="0" applyNumberFormat="1" applyFill="1" applyBorder="1" applyAlignment="1">
      <alignment horizontal="center"/>
    </xf>
    <xf numFmtId="1" fontId="0" fillId="12" borderId="33" xfId="0" applyNumberFormat="1" applyFill="1" applyBorder="1" applyAlignment="1">
      <alignment horizontal="center"/>
    </xf>
    <xf numFmtId="2" fontId="0" fillId="12" borderId="37" xfId="0" applyNumberFormat="1" applyFill="1" applyBorder="1" applyAlignment="1">
      <alignment horizontal="center"/>
    </xf>
    <xf numFmtId="2" fontId="0" fillId="12" borderId="26" xfId="0" applyNumberFormat="1" applyFill="1" applyBorder="1" applyAlignment="1">
      <alignment horizontal="center"/>
    </xf>
    <xf numFmtId="2" fontId="0" fillId="12" borderId="32" xfId="0" applyNumberFormat="1" applyFill="1" applyBorder="1" applyAlignment="1">
      <alignment horizontal="center"/>
    </xf>
    <xf numFmtId="2" fontId="0" fillId="12" borderId="33" xfId="0" applyNumberFormat="1" applyFill="1" applyBorder="1" applyAlignment="1">
      <alignment horizontal="center"/>
    </xf>
    <xf numFmtId="2" fontId="3" fillId="12" borderId="32" xfId="0" applyNumberFormat="1" applyFont="1" applyFill="1" applyBorder="1" applyAlignment="1">
      <alignment horizontal="center"/>
    </xf>
    <xf numFmtId="1" fontId="0" fillId="6" borderId="32" xfId="0" applyNumberFormat="1" applyFill="1" applyBorder="1" applyAlignment="1">
      <alignment horizontal="center"/>
    </xf>
    <xf numFmtId="1" fontId="0" fillId="6" borderId="33" xfId="0" applyNumberFormat="1" applyFill="1" applyBorder="1" applyAlignment="1">
      <alignment horizontal="center"/>
    </xf>
    <xf numFmtId="2" fontId="0" fillId="6" borderId="37" xfId="0" applyNumberFormat="1" applyFill="1" applyBorder="1" applyAlignment="1">
      <alignment horizontal="center"/>
    </xf>
    <xf numFmtId="2" fontId="0" fillId="6" borderId="26" xfId="0" applyNumberFormat="1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20" fillId="16" borderId="38" xfId="0" applyFont="1" applyFill="1" applyBorder="1" applyAlignment="1">
      <alignment horizontal="center"/>
    </xf>
    <xf numFmtId="0" fontId="20" fillId="16" borderId="39" xfId="0" applyFont="1" applyFill="1" applyBorder="1" applyAlignment="1">
      <alignment horizontal="center"/>
    </xf>
    <xf numFmtId="0" fontId="20" fillId="16" borderId="23" xfId="0" applyFont="1" applyFill="1" applyBorder="1" applyAlignment="1">
      <alignment horizontal="center"/>
    </xf>
    <xf numFmtId="0" fontId="3" fillId="15" borderId="32" xfId="0" applyFont="1" applyFill="1" applyBorder="1" applyAlignment="1">
      <alignment horizontal="center"/>
    </xf>
    <xf numFmtId="0" fontId="3" fillId="15" borderId="33" xfId="0" applyFont="1" applyFill="1" applyBorder="1" applyAlignment="1">
      <alignment horizontal="center"/>
    </xf>
    <xf numFmtId="2" fontId="3" fillId="15" borderId="32" xfId="0" applyNumberFormat="1" applyFont="1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1" fillId="14" borderId="38" xfId="0" applyFont="1" applyFill="1" applyBorder="1" applyAlignment="1">
      <alignment horizontal="center"/>
    </xf>
    <xf numFmtId="0" fontId="1" fillId="14" borderId="23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14" borderId="39" xfId="0" applyFont="1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9" fillId="4" borderId="0" xfId="0" applyFont="1" applyFill="1" applyAlignment="1">
      <alignment horizontal="center"/>
    </xf>
    <xf numFmtId="0" fontId="23" fillId="17" borderId="32" xfId="3" applyFont="1" applyFill="1" applyBorder="1" applyAlignment="1">
      <alignment horizontal="center" vertical="center" wrapText="1"/>
    </xf>
    <xf numFmtId="0" fontId="23" fillId="17" borderId="33" xfId="3" applyFont="1" applyFill="1" applyBorder="1" applyAlignment="1">
      <alignment horizontal="center" vertical="center" wrapText="1"/>
    </xf>
    <xf numFmtId="0" fontId="23" fillId="17" borderId="36" xfId="3" applyFont="1" applyFill="1" applyBorder="1" applyAlignment="1">
      <alignment horizontal="center" vertical="center"/>
    </xf>
    <xf numFmtId="0" fontId="23" fillId="17" borderId="33" xfId="3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4" borderId="0" xfId="0" applyFill="1"/>
    <xf numFmtId="0" fontId="0" fillId="6" borderId="0" xfId="0" applyFill="1" applyBorder="1"/>
    <xf numFmtId="1" fontId="0" fillId="6" borderId="32" xfId="0" applyNumberFormat="1" applyFill="1" applyBorder="1" applyAlignment="1"/>
    <xf numFmtId="0" fontId="0" fillId="6" borderId="1" xfId="0" applyFill="1" applyBorder="1" applyAlignment="1"/>
    <xf numFmtId="0" fontId="0" fillId="6" borderId="32" xfId="0" applyFill="1" applyBorder="1" applyAlignment="1"/>
    <xf numFmtId="2" fontId="0" fillId="6" borderId="37" xfId="0" applyNumberFormat="1" applyFill="1" applyBorder="1" applyAlignment="1"/>
    <xf numFmtId="0" fontId="3" fillId="15" borderId="32" xfId="0" applyFont="1" applyFill="1" applyBorder="1" applyAlignment="1"/>
    <xf numFmtId="0" fontId="3" fillId="6" borderId="30" xfId="0" applyFont="1" applyFill="1" applyBorder="1" applyAlignment="1">
      <alignment horizontal="center"/>
    </xf>
    <xf numFmtId="0" fontId="3" fillId="6" borderId="34" xfId="0" applyFont="1" applyFill="1" applyBorder="1" applyAlignment="1">
      <alignment horizontal="center"/>
    </xf>
    <xf numFmtId="0" fontId="20" fillId="16" borderId="48" xfId="0" applyFont="1" applyFill="1" applyBorder="1" applyAlignment="1">
      <alignment horizontal="center"/>
    </xf>
    <xf numFmtId="0" fontId="20" fillId="16" borderId="49" xfId="0" applyFont="1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6" borderId="51" xfId="0" applyFill="1" applyBorder="1" applyAlignment="1">
      <alignment horizontal="center"/>
    </xf>
    <xf numFmtId="0" fontId="0" fillId="6" borderId="52" xfId="0" applyFill="1" applyBorder="1" applyAlignment="1">
      <alignment horizontal="center"/>
    </xf>
    <xf numFmtId="2" fontId="0" fillId="6" borderId="50" xfId="0" applyNumberFormat="1" applyFill="1" applyBorder="1" applyAlignment="1">
      <alignment horizontal="center"/>
    </xf>
    <xf numFmtId="2" fontId="0" fillId="6" borderId="51" xfId="0" applyNumberFormat="1" applyFill="1" applyBorder="1" applyAlignment="1">
      <alignment horizontal="center"/>
    </xf>
    <xf numFmtId="0" fontId="3" fillId="15" borderId="36" xfId="0" applyFont="1" applyFill="1" applyBorder="1" applyAlignment="1">
      <alignment horizontal="center"/>
    </xf>
    <xf numFmtId="2" fontId="3" fillId="15" borderId="33" xfId="0" applyNumberFormat="1" applyFont="1" applyFill="1" applyBorder="1" applyAlignment="1">
      <alignment horizontal="center"/>
    </xf>
    <xf numFmtId="0" fontId="0" fillId="6" borderId="53" xfId="0" applyFill="1" applyBorder="1" applyAlignment="1">
      <alignment horizontal="center"/>
    </xf>
    <xf numFmtId="1" fontId="0" fillId="6" borderId="50" xfId="0" applyNumberFormat="1" applyFill="1" applyBorder="1" applyAlignment="1">
      <alignment horizontal="center"/>
    </xf>
    <xf numFmtId="1" fontId="0" fillId="6" borderId="51" xfId="0" applyNumberFormat="1" applyFill="1" applyBorder="1" applyAlignment="1">
      <alignment horizontal="center"/>
    </xf>
    <xf numFmtId="0" fontId="20" fillId="16" borderId="48" xfId="0" applyFont="1" applyFill="1" applyBorder="1" applyAlignment="1">
      <alignment horizontal="center"/>
    </xf>
    <xf numFmtId="0" fontId="0" fillId="6" borderId="50" xfId="0" applyFill="1" applyBorder="1" applyAlignment="1"/>
    <xf numFmtId="1" fontId="0" fillId="6" borderId="50" xfId="0" applyNumberFormat="1" applyFill="1" applyBorder="1" applyAlignment="1"/>
    <xf numFmtId="0" fontId="1" fillId="14" borderId="1" xfId="0" applyFont="1" applyFill="1" applyBorder="1" applyAlignment="1">
      <alignment horizontal="center"/>
    </xf>
    <xf numFmtId="2" fontId="0" fillId="6" borderId="1" xfId="0" applyNumberFormat="1" applyFill="1" applyBorder="1" applyAlignment="1"/>
    <xf numFmtId="2" fontId="3" fillId="15" borderId="1" xfId="0" applyNumberFormat="1" applyFont="1" applyFill="1" applyBorder="1" applyAlignment="1">
      <alignment horizontal="center"/>
    </xf>
    <xf numFmtId="0" fontId="1" fillId="4" borderId="1" xfId="0" applyFont="1" applyFill="1" applyBorder="1"/>
    <xf numFmtId="0" fontId="0" fillId="20" borderId="1" xfId="0" applyFont="1" applyFill="1" applyBorder="1" applyAlignment="1">
      <alignment horizontal="center"/>
    </xf>
    <xf numFmtId="2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3" fillId="12" borderId="32" xfId="0" applyFont="1" applyFill="1" applyBorder="1" applyAlignment="1"/>
    <xf numFmtId="1" fontId="0" fillId="12" borderId="32" xfId="0" applyNumberFormat="1" applyFill="1" applyBorder="1" applyAlignment="1"/>
    <xf numFmtId="0" fontId="20" fillId="16" borderId="38" xfId="0" applyFont="1" applyFill="1" applyBorder="1" applyAlignment="1"/>
    <xf numFmtId="2" fontId="0" fillId="12" borderId="37" xfId="0" applyNumberFormat="1" applyFill="1" applyBorder="1" applyAlignment="1"/>
    <xf numFmtId="2" fontId="0" fillId="12" borderId="32" xfId="0" applyNumberFormat="1" applyFill="1" applyBorder="1" applyAlignment="1"/>
    <xf numFmtId="2" fontId="3" fillId="12" borderId="32" xfId="0" applyNumberFormat="1" applyFont="1" applyFill="1" applyBorder="1" applyAlignment="1"/>
    <xf numFmtId="0" fontId="20" fillId="16" borderId="1" xfId="0" applyFont="1" applyFill="1" applyBorder="1" applyAlignment="1"/>
    <xf numFmtId="2" fontId="0" fillId="12" borderId="1" xfId="0" applyNumberFormat="1" applyFill="1" applyBorder="1" applyAlignment="1"/>
    <xf numFmtId="0" fontId="0" fillId="15" borderId="1" xfId="0" applyFill="1" applyBorder="1"/>
    <xf numFmtId="2" fontId="0" fillId="15" borderId="1" xfId="0" applyNumberFormat="1" applyFill="1" applyBorder="1"/>
    <xf numFmtId="2" fontId="3" fillId="15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/>
    <xf numFmtId="0" fontId="4" fillId="6" borderId="1" xfId="0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0" fontId="0" fillId="6" borderId="30" xfId="0" applyFill="1" applyBorder="1" applyAlignment="1"/>
    <xf numFmtId="0" fontId="3" fillId="6" borderId="30" xfId="0" applyFont="1" applyFill="1" applyBorder="1" applyAlignment="1"/>
    <xf numFmtId="0" fontId="20" fillId="16" borderId="54" xfId="0" applyFont="1" applyFill="1" applyBorder="1" applyAlignment="1">
      <alignment horizontal="center"/>
    </xf>
    <xf numFmtId="2" fontId="0" fillId="6" borderId="55" xfId="0" applyNumberFormat="1" applyFill="1" applyBorder="1" applyAlignment="1"/>
    <xf numFmtId="0" fontId="0" fillId="6" borderId="55" xfId="0" applyFill="1" applyBorder="1" applyAlignment="1"/>
    <xf numFmtId="0" fontId="21" fillId="4" borderId="0" xfId="0" applyFont="1" applyFill="1" applyAlignment="1">
      <alignment vertical="center"/>
    </xf>
    <xf numFmtId="0" fontId="0" fillId="6" borderId="17" xfId="0" applyFill="1" applyBorder="1" applyAlignment="1"/>
    <xf numFmtId="0" fontId="1" fillId="14" borderId="0" xfId="0" applyFont="1" applyFill="1" applyAlignment="1"/>
    <xf numFmtId="2" fontId="0" fillId="6" borderId="17" xfId="0" applyNumberFormat="1" applyFill="1" applyBorder="1" applyAlignment="1"/>
    <xf numFmtId="164" fontId="0" fillId="6" borderId="17" xfId="0" applyNumberFormat="1" applyFill="1" applyBorder="1" applyAlignment="1"/>
    <xf numFmtId="2" fontId="0" fillId="5" borderId="17" xfId="0" applyNumberFormat="1" applyFill="1" applyBorder="1" applyAlignment="1"/>
  </cellXfs>
  <cellStyles count="4">
    <cellStyle name="Hyperlink" xfId="2" builtinId="8"/>
    <cellStyle name="Normal" xfId="0" builtinId="0"/>
    <cellStyle name="Normal 2" xfId="1" xr:uid="{091B662D-1BE2-48DD-9F2C-6BEBC887F64F}"/>
    <cellStyle name="Normal 3" xfId="3" xr:uid="{D3847E43-6FAA-410A-930F-11472E511B96}"/>
  </cellStyles>
  <dxfs count="99"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505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theme="1"/>
      </font>
      <fill>
        <patternFill>
          <bgColor theme="8" tint="0.79998168889431442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FF6969"/>
        </patternFill>
      </fill>
    </dxf>
    <dxf>
      <font>
        <b/>
        <i val="0"/>
        <color theme="1"/>
      </font>
      <fill>
        <patternFill>
          <bgColor theme="2" tint="-9.9948118533890809E-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505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theme="1"/>
      </font>
      <fill>
        <patternFill>
          <bgColor theme="8" tint="0.79998168889431442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FF6969"/>
        </patternFill>
      </fill>
    </dxf>
    <dxf>
      <font>
        <b/>
        <i val="0"/>
        <color theme="1"/>
      </font>
      <fill>
        <patternFill>
          <bgColor theme="2" tint="-9.9948118533890809E-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505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theme="1"/>
      </font>
      <fill>
        <patternFill>
          <bgColor theme="8" tint="0.79998168889431442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FF6969"/>
        </patternFill>
      </fill>
    </dxf>
    <dxf>
      <font>
        <b/>
        <i val="0"/>
        <color theme="1"/>
      </font>
      <fill>
        <patternFill>
          <bgColor theme="2" tint="-9.9948118533890809E-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 patternType="solid">
          <fgColor auto="1"/>
          <bgColor rgb="FFFF6D6D"/>
        </patternFill>
      </fill>
    </dxf>
    <dxf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505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theme="1"/>
      </font>
      <fill>
        <patternFill>
          <bgColor theme="8" tint="0.79998168889431442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FF6969"/>
        </patternFill>
      </fill>
    </dxf>
    <dxf>
      <font>
        <b/>
        <i val="0"/>
        <color theme="1"/>
      </font>
      <fill>
        <patternFill>
          <bgColor theme="2" tint="-9.9948118533890809E-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F1834233-7B20-47AC-B286-77BA81F7A103}">
      <tableStyleElement type="wholeTable" dxfId="98"/>
      <tableStyleElement type="headerRow" dxfId="97"/>
      <tableStyleElement type="totalRow" dxfId="96"/>
      <tableStyleElement type="firstColumn" dxfId="95"/>
      <tableStyleElement type="lastColumn" dxfId="94"/>
      <tableStyleElement type="firstRowStripe" dxfId="93"/>
      <tableStyleElement type="firstColumnStripe" dxfId="92"/>
    </tableStyle>
    <tableStyle name="PivotStylePreset2_Accent1" table="0" count="10" xr9:uid="{F5D7B000-7B94-4D44-B1B9-45263FBB93D9}">
      <tableStyleElement type="headerRow" dxfId="91"/>
      <tableStyleElement type="totalRow" dxfId="90"/>
      <tableStyleElement type="firstRowStripe" dxfId="89"/>
      <tableStyleElement type="firstColumnStripe" dxfId="88"/>
      <tableStyleElement type="firstSubtotalRow" dxfId="87"/>
      <tableStyleElement type="secondSubtotalRow" dxfId="86"/>
      <tableStyleElement type="firstRowSubheading" dxfId="85"/>
      <tableStyleElement type="secondRowSubheading" dxfId="84"/>
      <tableStyleElement type="pageFieldLabels" dxfId="83"/>
      <tableStyleElement type="pageFieldValues" dxfId="82"/>
    </tableStyle>
  </tableStyles>
  <colors>
    <mruColors>
      <color rgb="FF000066"/>
      <color rgb="FFFF6969"/>
      <color rgb="FFFF0000"/>
      <color rgb="FFFF6D6D"/>
      <color rgb="FF82A1D8"/>
      <color rgb="FFFF5050"/>
      <color rgb="FFF26E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381000</xdr:colOff>
      <xdr:row>19</xdr:row>
      <xdr:rowOff>57150</xdr:rowOff>
    </xdr:from>
    <xdr:to>
      <xdr:col>19</xdr:col>
      <xdr:colOff>600956</xdr:colOff>
      <xdr:row>29</xdr:row>
      <xdr:rowOff>200364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6FDA3-6810-9EBA-EF8C-375A2C747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1925" y="3867150"/>
          <a:ext cx="6315956" cy="2429214"/>
        </a:xfrm>
        <a:prstGeom prst="rect">
          <a:avLst/>
        </a:prstGeom>
      </xdr:spPr>
    </xdr:pic>
    <xdr:clientData/>
  </xdr:twoCellAnchor>
  <xdr:twoCellAnchor editAs="oneCell">
    <xdr:from>
      <xdr:col>9</xdr:col>
      <xdr:colOff>247650</xdr:colOff>
      <xdr:row>31</xdr:row>
      <xdr:rowOff>1</xdr:rowOff>
    </xdr:from>
    <xdr:to>
      <xdr:col>20</xdr:col>
      <xdr:colOff>104775</xdr:colOff>
      <xdr:row>40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B81E7F-7628-BC58-C594-4966F94CE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48575" y="6667501"/>
          <a:ext cx="6562725" cy="2324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fancyreyes@gmail.com%0a8qnl9x8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2FE4-4035-42E4-8E64-8BE562B8966F}">
  <dimension ref="A2:P41"/>
  <sheetViews>
    <sheetView zoomScale="85" zoomScaleNormal="85" workbookViewId="0">
      <selection activeCell="L17" sqref="L17"/>
    </sheetView>
  </sheetViews>
  <sheetFormatPr defaultColWidth="8.88671875" defaultRowHeight="16.8" x14ac:dyDescent="0.4"/>
  <cols>
    <col min="1" max="1" width="103.88671875" style="44" bestFit="1" customWidth="1"/>
    <col min="2" max="2" width="13.109375" style="52" bestFit="1" customWidth="1"/>
    <col min="3" max="3" width="12.6640625" style="52" bestFit="1" customWidth="1"/>
    <col min="4" max="4" width="16.88671875" style="115" customWidth="1"/>
    <col min="5" max="5" width="13.44140625" style="52" bestFit="1" customWidth="1"/>
    <col min="6" max="6" width="13.33203125" style="52" bestFit="1" customWidth="1"/>
    <col min="7" max="7" width="13" style="52" customWidth="1"/>
    <col min="8" max="8" width="8.33203125" style="44" bestFit="1" customWidth="1"/>
    <col min="9" max="9" width="12.6640625" style="44" bestFit="1" customWidth="1"/>
    <col min="10" max="10" width="26.5546875" style="44" hidden="1" customWidth="1"/>
    <col min="11" max="11" width="13.33203125" style="44" bestFit="1" customWidth="1"/>
    <col min="12" max="12" width="20.5546875" style="44" customWidth="1"/>
    <col min="13" max="13" width="11.109375" style="44" bestFit="1" customWidth="1"/>
    <col min="14" max="14" width="7.88671875" style="44" customWidth="1"/>
    <col min="15" max="15" width="8.88671875" style="44"/>
    <col min="16" max="16" width="58.44140625" style="44" customWidth="1"/>
    <col min="17" max="16384" width="8.88671875" style="44"/>
  </cols>
  <sheetData>
    <row r="2" spans="1:16" x14ac:dyDescent="0.4">
      <c r="L2" s="228" t="s">
        <v>92</v>
      </c>
      <c r="M2" s="228"/>
      <c r="N2" s="228"/>
      <c r="O2" s="228"/>
      <c r="P2" s="228"/>
    </row>
    <row r="3" spans="1:16" x14ac:dyDescent="0.4">
      <c r="A3" s="49" t="s">
        <v>83</v>
      </c>
      <c r="B3" s="51" t="s">
        <v>99</v>
      </c>
      <c r="C3" s="55" t="s">
        <v>88</v>
      </c>
      <c r="D3" s="116" t="s">
        <v>89</v>
      </c>
      <c r="E3" s="55" t="s">
        <v>90</v>
      </c>
      <c r="F3" s="55" t="s">
        <v>10</v>
      </c>
      <c r="G3" s="56" t="s">
        <v>91</v>
      </c>
      <c r="L3" s="40" t="s">
        <v>88</v>
      </c>
      <c r="M3" s="45" t="s">
        <v>93</v>
      </c>
      <c r="N3" s="45"/>
      <c r="O3" s="45"/>
      <c r="P3" s="45"/>
    </row>
    <row r="4" spans="1:16" x14ac:dyDescent="0.4">
      <c r="A4" s="50" t="s">
        <v>700</v>
      </c>
      <c r="B4" s="50">
        <f>COUNTA('NEW Industry Column Non-Salad'!B3:B109)</f>
        <v>107</v>
      </c>
      <c r="C4" s="50"/>
      <c r="D4" s="117"/>
      <c r="E4" s="50"/>
      <c r="F4" s="50"/>
      <c r="G4" s="54"/>
      <c r="L4" s="40" t="s">
        <v>89</v>
      </c>
      <c r="M4" s="45" t="s">
        <v>94</v>
      </c>
      <c r="N4" s="45"/>
      <c r="O4" s="45"/>
      <c r="P4" s="45"/>
    </row>
    <row r="5" spans="1:16" x14ac:dyDescent="0.4">
      <c r="A5" s="50" t="s">
        <v>705</v>
      </c>
      <c r="B5" s="50">
        <f>COUNTA('NEW Industry Column Salad'!B3:B110)</f>
        <v>37</v>
      </c>
      <c r="C5" s="53"/>
      <c r="D5" s="117"/>
      <c r="E5" s="50"/>
      <c r="F5" s="50"/>
      <c r="G5" s="54"/>
      <c r="L5" s="40" t="s">
        <v>90</v>
      </c>
      <c r="M5" s="45" t="s">
        <v>95</v>
      </c>
      <c r="N5" s="45"/>
      <c r="O5" s="45"/>
      <c r="P5" s="45"/>
    </row>
    <row r="6" spans="1:16" x14ac:dyDescent="0.4">
      <c r="A6" s="53" t="s">
        <v>701</v>
      </c>
      <c r="B6" s="50">
        <f>COUNTA(Test!B3:B111)</f>
        <v>9</v>
      </c>
      <c r="C6" s="50"/>
      <c r="D6" s="117"/>
      <c r="E6" s="50"/>
      <c r="F6" s="50"/>
      <c r="G6" s="54"/>
      <c r="L6" s="40" t="s">
        <v>10</v>
      </c>
      <c r="M6" s="45" t="s">
        <v>96</v>
      </c>
      <c r="N6" s="45"/>
      <c r="O6" s="45"/>
      <c r="P6" s="45"/>
    </row>
    <row r="7" spans="1:16" x14ac:dyDescent="0.4">
      <c r="A7" s="53" t="s">
        <v>706</v>
      </c>
      <c r="B7" s="50">
        <f>SUM(B4:B6)</f>
        <v>153</v>
      </c>
      <c r="C7" s="50"/>
      <c r="D7" s="117"/>
      <c r="E7" s="50"/>
      <c r="F7" s="50"/>
      <c r="G7" s="54"/>
      <c r="I7" s="57"/>
      <c r="L7" s="40" t="s">
        <v>91</v>
      </c>
      <c r="M7" s="45" t="s">
        <v>97</v>
      </c>
      <c r="N7" s="45"/>
      <c r="O7" s="45"/>
      <c r="P7" s="45"/>
    </row>
    <row r="8" spans="1:16" x14ac:dyDescent="0.4">
      <c r="A8" s="69"/>
      <c r="B8" s="69"/>
      <c r="C8" s="72"/>
      <c r="D8" s="118"/>
      <c r="E8" s="69"/>
      <c r="F8" s="69"/>
      <c r="G8" s="73"/>
    </row>
    <row r="9" spans="1:16" x14ac:dyDescent="0.4">
      <c r="A9" s="69"/>
      <c r="B9" s="69"/>
      <c r="C9" s="69"/>
      <c r="D9" s="118"/>
      <c r="E9" s="69"/>
      <c r="F9" s="69"/>
      <c r="G9" s="73"/>
    </row>
    <row r="10" spans="1:16" x14ac:dyDescent="0.4">
      <c r="A10" s="69"/>
      <c r="B10" s="69"/>
      <c r="C10" s="69"/>
      <c r="D10" s="118"/>
      <c r="E10" s="69"/>
      <c r="F10" s="69"/>
      <c r="G10" s="73"/>
    </row>
    <row r="11" spans="1:16" x14ac:dyDescent="0.4">
      <c r="A11" s="74"/>
      <c r="B11" s="72"/>
      <c r="C11" s="72"/>
      <c r="D11" s="119"/>
      <c r="E11" s="72"/>
      <c r="F11" s="72"/>
      <c r="G11" s="75"/>
    </row>
    <row r="12" spans="1:16" x14ac:dyDescent="0.4">
      <c r="A12" s="70"/>
      <c r="B12" s="70"/>
      <c r="C12" s="70"/>
      <c r="D12" s="120"/>
      <c r="E12" s="70"/>
      <c r="F12" s="70"/>
      <c r="G12" s="71"/>
    </row>
    <row r="13" spans="1:16" x14ac:dyDescent="0.4">
      <c r="A13" s="69"/>
      <c r="B13" s="70"/>
      <c r="C13" s="70"/>
      <c r="D13" s="120"/>
      <c r="E13" s="70"/>
      <c r="F13" s="70"/>
      <c r="G13" s="71"/>
    </row>
    <row r="14" spans="1:16" ht="18.75" customHeight="1" x14ac:dyDescent="0.4">
      <c r="A14" s="113"/>
      <c r="B14" s="114" t="s">
        <v>98</v>
      </c>
      <c r="C14" s="114" t="s">
        <v>708</v>
      </c>
      <c r="D14" s="121" t="s">
        <v>709</v>
      </c>
      <c r="E14" s="122" t="s">
        <v>712</v>
      </c>
      <c r="F14" s="122" t="s">
        <v>711</v>
      </c>
      <c r="G14" s="122" t="s">
        <v>706</v>
      </c>
      <c r="I14" s="178" t="s">
        <v>801</v>
      </c>
      <c r="J14" s="178"/>
      <c r="K14" s="178"/>
      <c r="L14" s="122">
        <f>SUM(C15:C18)</f>
        <v>4</v>
      </c>
    </row>
    <row r="15" spans="1:16" x14ac:dyDescent="0.4">
      <c r="B15" s="123" t="s">
        <v>20</v>
      </c>
      <c r="C15" s="123">
        <v>1</v>
      </c>
      <c r="D15" s="124">
        <v>3</v>
      </c>
      <c r="E15" s="126">
        <v>23</v>
      </c>
      <c r="F15" s="126">
        <v>0</v>
      </c>
      <c r="G15" s="126">
        <f>SUM(C15:F15)</f>
        <v>27</v>
      </c>
      <c r="I15" s="178" t="s">
        <v>802</v>
      </c>
      <c r="J15" s="178"/>
      <c r="K15" s="178"/>
      <c r="L15" s="122">
        <v>9</v>
      </c>
      <c r="M15" s="52"/>
      <c r="N15" s="52"/>
    </row>
    <row r="16" spans="1:16" x14ac:dyDescent="0.4">
      <c r="B16" s="123" t="s">
        <v>25</v>
      </c>
      <c r="C16" s="123">
        <v>1</v>
      </c>
      <c r="D16" s="124">
        <v>3</v>
      </c>
      <c r="E16" s="126">
        <v>23</v>
      </c>
      <c r="F16" s="126">
        <v>0</v>
      </c>
      <c r="G16" s="126">
        <f>SUM(C16:F16)</f>
        <v>27</v>
      </c>
      <c r="I16" s="219" t="s">
        <v>803</v>
      </c>
      <c r="J16" s="220"/>
      <c r="K16" s="221"/>
      <c r="L16" s="122">
        <v>132</v>
      </c>
      <c r="M16" s="52"/>
      <c r="N16" s="52"/>
    </row>
    <row r="17" spans="2:14" x14ac:dyDescent="0.4">
      <c r="B17" s="123" t="s">
        <v>707</v>
      </c>
      <c r="C17" s="123">
        <v>1</v>
      </c>
      <c r="D17" s="124">
        <v>3</v>
      </c>
      <c r="E17" s="126">
        <v>23</v>
      </c>
      <c r="F17" s="126">
        <v>0</v>
      </c>
      <c r="G17" s="126">
        <f t="shared" ref="G16:G18" si="0">SUM(C17:F17)</f>
        <v>27</v>
      </c>
      <c r="I17" s="219" t="s">
        <v>804</v>
      </c>
      <c r="J17" s="220"/>
      <c r="K17" s="221"/>
      <c r="L17" s="122">
        <v>0</v>
      </c>
      <c r="M17" s="52"/>
      <c r="N17" s="52"/>
    </row>
    <row r="18" spans="2:14" x14ac:dyDescent="0.4">
      <c r="B18" s="123" t="s">
        <v>29</v>
      </c>
      <c r="C18" s="123">
        <v>1</v>
      </c>
      <c r="D18" s="124">
        <v>0</v>
      </c>
      <c r="E18" s="126">
        <v>23</v>
      </c>
      <c r="F18" s="126">
        <v>2</v>
      </c>
      <c r="G18" s="126">
        <f t="shared" si="0"/>
        <v>26</v>
      </c>
      <c r="I18" s="178" t="s">
        <v>805</v>
      </c>
      <c r="J18" s="178"/>
      <c r="K18" s="178"/>
      <c r="L18" s="122">
        <v>2</v>
      </c>
      <c r="M18" s="52"/>
      <c r="N18" s="52"/>
    </row>
    <row r="19" spans="2:14" x14ac:dyDescent="0.4">
      <c r="B19" s="125"/>
      <c r="C19" s="125">
        <f>SUM(C15:C18)</f>
        <v>4</v>
      </c>
      <c r="D19" s="125">
        <f t="shared" ref="D19:F19" si="1">SUM(D15:D18)</f>
        <v>9</v>
      </c>
      <c r="E19" s="125">
        <f>SUM(E15:E18)</f>
        <v>92</v>
      </c>
      <c r="F19" s="125">
        <f t="shared" si="1"/>
        <v>2</v>
      </c>
      <c r="G19" s="52">
        <f>SUM(C19:F19)</f>
        <v>107</v>
      </c>
      <c r="I19" s="178" t="s">
        <v>806</v>
      </c>
      <c r="J19" s="178"/>
      <c r="K19" s="178"/>
      <c r="L19" s="122">
        <v>4</v>
      </c>
      <c r="M19" s="52"/>
      <c r="N19" s="52"/>
    </row>
    <row r="20" spans="2:14" x14ac:dyDescent="0.4">
      <c r="G20" s="44"/>
      <c r="I20" s="178" t="s">
        <v>710</v>
      </c>
      <c r="J20" s="178"/>
      <c r="K20" s="178"/>
      <c r="L20" s="122">
        <v>4</v>
      </c>
    </row>
    <row r="21" spans="2:14" x14ac:dyDescent="0.4">
      <c r="G21" s="44"/>
      <c r="I21" s="179" t="s">
        <v>706</v>
      </c>
      <c r="J21" s="179"/>
      <c r="K21" s="179"/>
      <c r="L21" s="122">
        <f>SUM(L14:L20)</f>
        <v>155</v>
      </c>
    </row>
    <row r="22" spans="2:14" x14ac:dyDescent="0.4">
      <c r="G22" s="44"/>
    </row>
    <row r="23" spans="2:14" x14ac:dyDescent="0.4">
      <c r="B23" s="127" t="s">
        <v>98</v>
      </c>
      <c r="C23" s="128" t="s">
        <v>710</v>
      </c>
      <c r="D23" s="127" t="s">
        <v>713</v>
      </c>
      <c r="E23" s="127" t="s">
        <v>712</v>
      </c>
      <c r="F23" s="127" t="s">
        <v>706</v>
      </c>
      <c r="G23" s="44"/>
    </row>
    <row r="24" spans="2:14" x14ac:dyDescent="0.4">
      <c r="B24" s="129" t="s">
        <v>42</v>
      </c>
      <c r="C24" s="129">
        <v>0</v>
      </c>
      <c r="D24" s="130">
        <v>2</v>
      </c>
      <c r="E24" s="130">
        <v>5</v>
      </c>
      <c r="F24" s="131">
        <f>SUM(C24:E24)</f>
        <v>7</v>
      </c>
      <c r="G24" s="44"/>
    </row>
    <row r="25" spans="2:14" x14ac:dyDescent="0.4">
      <c r="B25" s="129" t="s">
        <v>47</v>
      </c>
      <c r="C25" s="129">
        <v>0</v>
      </c>
      <c r="D25" s="130">
        <v>2</v>
      </c>
      <c r="E25" s="130">
        <v>5</v>
      </c>
      <c r="F25" s="131">
        <f t="shared" ref="F25:F28" si="2">SUM(C25:E25)</f>
        <v>7</v>
      </c>
      <c r="G25" s="44"/>
    </row>
    <row r="26" spans="2:14" x14ac:dyDescent="0.4">
      <c r="B26" s="129" t="s">
        <v>51</v>
      </c>
      <c r="C26" s="129">
        <v>0</v>
      </c>
      <c r="D26" s="130">
        <v>2</v>
      </c>
      <c r="E26" s="130">
        <v>5</v>
      </c>
      <c r="F26" s="131">
        <f t="shared" si="2"/>
        <v>7</v>
      </c>
    </row>
    <row r="27" spans="2:14" x14ac:dyDescent="0.4">
      <c r="B27" s="129" t="s">
        <v>55</v>
      </c>
      <c r="C27" s="129">
        <v>2</v>
      </c>
      <c r="D27" s="130">
        <v>0</v>
      </c>
      <c r="E27" s="130">
        <v>8</v>
      </c>
      <c r="F27" s="131">
        <f t="shared" si="2"/>
        <v>10</v>
      </c>
    </row>
    <row r="28" spans="2:14" x14ac:dyDescent="0.4">
      <c r="B28" s="129" t="s">
        <v>62</v>
      </c>
      <c r="C28" s="129">
        <v>2</v>
      </c>
      <c r="D28" s="130">
        <v>0</v>
      </c>
      <c r="E28" s="130">
        <v>8</v>
      </c>
      <c r="F28" s="131">
        <f t="shared" si="2"/>
        <v>10</v>
      </c>
    </row>
    <row r="29" spans="2:14" x14ac:dyDescent="0.4">
      <c r="C29" s="125">
        <f>SUM(C24:C28)</f>
        <v>4</v>
      </c>
      <c r="D29" s="125">
        <f>SUM(D24:D28)</f>
        <v>6</v>
      </c>
      <c r="E29" s="125">
        <f>SUM(E24:E28)</f>
        <v>31</v>
      </c>
      <c r="F29" s="52">
        <f>SUM(C29:E29)</f>
        <v>41</v>
      </c>
    </row>
    <row r="31" spans="2:14" x14ac:dyDescent="0.4">
      <c r="B31" s="141" t="s">
        <v>98</v>
      </c>
      <c r="C31" s="142" t="s">
        <v>706</v>
      </c>
      <c r="D31" s="145" t="s">
        <v>86</v>
      </c>
    </row>
    <row r="32" spans="2:14" x14ac:dyDescent="0.4">
      <c r="B32" s="143" t="s">
        <v>20</v>
      </c>
      <c r="C32" s="144">
        <v>1</v>
      </c>
      <c r="D32" s="146" t="s">
        <v>712</v>
      </c>
    </row>
    <row r="33" spans="2:4" x14ac:dyDescent="0.4">
      <c r="B33" s="143" t="s">
        <v>25</v>
      </c>
      <c r="C33" s="144">
        <v>1</v>
      </c>
      <c r="D33" s="146" t="s">
        <v>712</v>
      </c>
    </row>
    <row r="34" spans="2:4" x14ac:dyDescent="0.4">
      <c r="B34" s="143" t="s">
        <v>707</v>
      </c>
      <c r="C34" s="144">
        <v>1</v>
      </c>
      <c r="D34" s="146" t="s">
        <v>712</v>
      </c>
    </row>
    <row r="35" spans="2:4" x14ac:dyDescent="0.4">
      <c r="B35" s="143" t="s">
        <v>29</v>
      </c>
      <c r="C35" s="144">
        <v>1</v>
      </c>
      <c r="D35" s="146" t="s">
        <v>712</v>
      </c>
    </row>
    <row r="36" spans="2:4" x14ac:dyDescent="0.4">
      <c r="B36" s="143" t="s">
        <v>42</v>
      </c>
      <c r="C36" s="144">
        <v>1</v>
      </c>
      <c r="D36" s="146" t="s">
        <v>712</v>
      </c>
    </row>
    <row r="37" spans="2:4" x14ac:dyDescent="0.4">
      <c r="B37" s="143" t="s">
        <v>47</v>
      </c>
      <c r="C37" s="144">
        <v>1</v>
      </c>
      <c r="D37" s="146" t="s">
        <v>712</v>
      </c>
    </row>
    <row r="38" spans="2:4" x14ac:dyDescent="0.4">
      <c r="B38" s="143" t="s">
        <v>51</v>
      </c>
      <c r="C38" s="144">
        <v>1</v>
      </c>
      <c r="D38" s="146" t="s">
        <v>712</v>
      </c>
    </row>
    <row r="39" spans="2:4" x14ac:dyDescent="0.4">
      <c r="B39" s="143" t="s">
        <v>55</v>
      </c>
      <c r="C39" s="144">
        <v>1</v>
      </c>
      <c r="D39" s="146" t="s">
        <v>712</v>
      </c>
    </row>
    <row r="40" spans="2:4" x14ac:dyDescent="0.4">
      <c r="B40" s="143" t="s">
        <v>62</v>
      </c>
      <c r="C40" s="144">
        <v>1</v>
      </c>
      <c r="D40" s="146" t="s">
        <v>712</v>
      </c>
    </row>
    <row r="41" spans="2:4" x14ac:dyDescent="0.4">
      <c r="C41" s="52">
        <f>SUM(C32:C40)</f>
        <v>9</v>
      </c>
    </row>
  </sheetData>
  <mergeCells count="9">
    <mergeCell ref="I18:K18"/>
    <mergeCell ref="I19:K19"/>
    <mergeCell ref="I20:K20"/>
    <mergeCell ref="I21:K21"/>
    <mergeCell ref="L2:P2"/>
    <mergeCell ref="I14:K14"/>
    <mergeCell ref="I15:K15"/>
    <mergeCell ref="I16:K16"/>
    <mergeCell ref="I17:K17"/>
  </mergeCells>
  <phoneticPr fontId="5" type="noConversion"/>
  <conditionalFormatting sqref="L3">
    <cfRule type="cellIs" dxfId="81" priority="2" operator="equal">
      <formula>"Not Completed"</formula>
    </cfRule>
  </conditionalFormatting>
  <conditionalFormatting sqref="L3:L7">
    <cfRule type="cellIs" dxfId="80" priority="3" operator="equal">
      <formula>"Dropped"</formula>
    </cfRule>
    <cfRule type="cellIs" priority="4" operator="equal">
      <formula>"Dropped"</formula>
    </cfRule>
    <cfRule type="cellIs" dxfId="79" priority="5" operator="equal">
      <formula>"Failed"</formula>
    </cfRule>
    <cfRule type="cellIs" dxfId="78" priority="8" operator="equal">
      <formula>"Passed"</formula>
    </cfRule>
    <cfRule type="cellIs" priority="9" operator="equal">
      <formula>"Passed"</formula>
    </cfRule>
    <cfRule type="cellIs" dxfId="77" priority="10" operator="equal">
      <formula>"Not Started"</formula>
    </cfRule>
    <cfRule type="cellIs" priority="11" operator="equal">
      <formula>"Not Started"</formula>
    </cfRule>
    <cfRule type="cellIs" dxfId="76" priority="12" operator="equal">
      <formula>"Not Started"</formula>
    </cfRule>
    <cfRule type="cellIs" dxfId="75" priority="13" operator="equal">
      <formula>"Not Started"</formula>
    </cfRule>
    <cfRule type="cellIs" dxfId="74" priority="14" operator="equal">
      <formula>"Not Completed"</formula>
    </cfRule>
    <cfRule type="cellIs" dxfId="73" priority="15" operator="equal">
      <formula>"Not Complete"</formula>
    </cfRule>
    <cfRule type="cellIs" dxfId="72" priority="16" operator="equal">
      <formula>"Not Completed"</formula>
    </cfRule>
    <cfRule type="cellIs" dxfId="71" priority="17" operator="equal">
      <formula>"Not Started"</formula>
    </cfRule>
    <cfRule type="cellIs" dxfId="70" priority="18" operator="equal">
      <formula>"Dropped"</formula>
    </cfRule>
    <cfRule type="cellIs" dxfId="69" priority="19" operator="equal">
      <formula>"Failed"</formula>
    </cfRule>
    <cfRule type="colorScale" priority="20">
      <colorScale>
        <cfvo type="min"/>
        <cfvo type="max"/>
        <color rgb="FFF26E6E"/>
        <color rgb="FFFFEF9C"/>
      </colorScale>
    </cfRule>
    <cfRule type="cellIs" dxfId="68" priority="21" operator="equal">
      <formula>"Failed"</formula>
    </cfRule>
    <cfRule type="cellIs" dxfId="67" priority="22" operator="equal">
      <formula>"Passed"</formula>
    </cfRule>
    <cfRule type="cellIs" dxfId="66" priority="23" operator="equal">
      <formula>"Not Completed"</formula>
    </cfRule>
    <cfRule type="cellIs" dxfId="65" priority="24" operator="equal">
      <formula>"Blocked"</formula>
    </cfRule>
    <cfRule type="cellIs" dxfId="64" priority="25" operator="equal">
      <formula>"Dropped"</formula>
    </cfRule>
    <cfRule type="cellIs" dxfId="63" priority="26" operator="equal">
      <formula>"Failed"</formula>
    </cfRule>
    <cfRule type="cellIs" dxfId="62" priority="27" operator="equal">
      <formula>"Passed"</formula>
    </cfRule>
  </conditionalFormatting>
  <conditionalFormatting sqref="L4">
    <cfRule type="cellIs" dxfId="61" priority="6" operator="equal">
      <formula>"Failed"</formula>
    </cfRule>
    <cfRule type="cellIs" priority="7" operator="equal">
      <formula>"Failed"</formula>
    </cfRule>
  </conditionalFormatting>
  <conditionalFormatting sqref="L7">
    <cfRule type="cellIs" dxfId="60" priority="1" operator="equal">
      <formula>"Not Completed"</formula>
    </cfRule>
  </conditionalFormatting>
  <dataValidations count="1">
    <dataValidation type="list" allowBlank="1" showInputMessage="1" showErrorMessage="1" sqref="L3:L7" xr:uid="{177C07F3-437F-487D-8F22-7B034AF84783}">
      <formula1>"Passed, Failed, Dropped, Not Started, Not Completed"</formula1>
    </dataValidation>
  </dataValidations>
  <pageMargins left="0.7" right="0.7" top="0.75" bottom="0.75" header="0.3" footer="0.3"/>
  <headerFooter>
    <oddHeader>&amp;L&amp;"Aptos"&amp;12&amp;K008000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195D-7394-4B3A-9617-DC61F16B642F}">
  <dimension ref="C7:AD80"/>
  <sheetViews>
    <sheetView tabSelected="1" topLeftCell="A14" zoomScale="70" zoomScaleNormal="70" workbookViewId="0">
      <selection activeCell="Z52" sqref="Z52"/>
    </sheetView>
  </sheetViews>
  <sheetFormatPr defaultRowHeight="14.4" x14ac:dyDescent="0.3"/>
  <cols>
    <col min="1" max="16" width="8.88671875" style="125"/>
    <col min="17" max="17" width="31.109375" style="125" customWidth="1"/>
    <col min="18" max="18" width="8.88671875" style="125"/>
    <col min="19" max="19" width="6.77734375" style="125" customWidth="1"/>
    <col min="20" max="16384" width="8.88671875" style="125"/>
  </cols>
  <sheetData>
    <row r="7" spans="3:24" ht="16.8" x14ac:dyDescent="0.4">
      <c r="E7" s="224" t="s">
        <v>811</v>
      </c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S7" s="44"/>
      <c r="T7" s="44"/>
      <c r="U7" s="44"/>
    </row>
    <row r="8" spans="3:24" ht="16.8" x14ac:dyDescent="0.4"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S8" s="44"/>
      <c r="T8" s="44"/>
      <c r="U8" s="178" t="s">
        <v>801</v>
      </c>
      <c r="V8" s="178"/>
      <c r="W8" s="178"/>
      <c r="X8" s="122">
        <v>8</v>
      </c>
    </row>
    <row r="9" spans="3:24" ht="16.8" x14ac:dyDescent="0.4">
      <c r="C9" s="227"/>
      <c r="D9" s="227"/>
      <c r="E9" s="222" t="s">
        <v>796</v>
      </c>
      <c r="F9" s="225"/>
      <c r="G9" s="223"/>
      <c r="H9" s="222" t="s">
        <v>807</v>
      </c>
      <c r="I9" s="223"/>
      <c r="J9" s="222" t="s">
        <v>813</v>
      </c>
      <c r="K9" s="223"/>
      <c r="L9" s="222" t="s">
        <v>799</v>
      </c>
      <c r="M9" s="223"/>
      <c r="N9" s="222" t="s">
        <v>800</v>
      </c>
      <c r="O9" s="223"/>
      <c r="P9" s="222" t="s">
        <v>9</v>
      </c>
      <c r="Q9" s="223"/>
      <c r="S9" s="44"/>
      <c r="T9" s="44"/>
      <c r="U9" s="178" t="s">
        <v>802</v>
      </c>
      <c r="V9" s="178"/>
      <c r="W9" s="178"/>
      <c r="X9" s="122">
        <v>45</v>
      </c>
    </row>
    <row r="10" spans="3:24" ht="16.8" x14ac:dyDescent="0.4">
      <c r="E10" s="260" t="s">
        <v>801</v>
      </c>
      <c r="F10" s="267"/>
      <c r="G10" s="261"/>
      <c r="H10" s="268">
        <v>8</v>
      </c>
      <c r="I10" s="269"/>
      <c r="J10" s="263">
        <f>75/60</f>
        <v>1.25</v>
      </c>
      <c r="K10" s="264"/>
      <c r="L10" s="263">
        <f>H10*J10</f>
        <v>10</v>
      </c>
      <c r="M10" s="264"/>
      <c r="N10" s="263">
        <f>L10/7</f>
        <v>1.4285714285714286</v>
      </c>
      <c r="O10" s="264"/>
      <c r="P10" s="263"/>
      <c r="Q10" s="264"/>
      <c r="S10" s="44"/>
      <c r="T10" s="44"/>
      <c r="U10" s="219" t="s">
        <v>803</v>
      </c>
      <c r="V10" s="220"/>
      <c r="W10" s="221"/>
      <c r="X10" s="122">
        <v>83</v>
      </c>
    </row>
    <row r="11" spans="3:24" ht="16.8" x14ac:dyDescent="0.4">
      <c r="E11" s="219" t="s">
        <v>802</v>
      </c>
      <c r="F11" s="220"/>
      <c r="G11" s="221"/>
      <c r="H11" s="208">
        <v>45</v>
      </c>
      <c r="I11" s="209"/>
      <c r="J11" s="193">
        <f>15/60</f>
        <v>0.25</v>
      </c>
      <c r="K11" s="194"/>
      <c r="L11" s="193">
        <f>H11*J11</f>
        <v>11.25</v>
      </c>
      <c r="M11" s="194"/>
      <c r="N11" s="193">
        <f t="shared" ref="N11:N15" si="0">L11/7</f>
        <v>1.6071428571428572</v>
      </c>
      <c r="O11" s="194"/>
      <c r="P11" s="193"/>
      <c r="Q11" s="194"/>
      <c r="S11" s="44"/>
      <c r="T11" s="44"/>
      <c r="U11" s="219" t="s">
        <v>804</v>
      </c>
      <c r="V11" s="220"/>
      <c r="W11" s="221"/>
      <c r="X11" s="122">
        <v>0</v>
      </c>
    </row>
    <row r="12" spans="3:24" ht="16.8" x14ac:dyDescent="0.4">
      <c r="E12" s="219" t="s">
        <v>809</v>
      </c>
      <c r="F12" s="220"/>
      <c r="G12" s="221"/>
      <c r="H12" s="208">
        <v>83</v>
      </c>
      <c r="I12" s="209"/>
      <c r="J12" s="193">
        <v>5</v>
      </c>
      <c r="K12" s="194"/>
      <c r="L12" s="193">
        <v>5</v>
      </c>
      <c r="M12" s="194"/>
      <c r="N12" s="193">
        <f t="shared" ref="N12" si="1">L12/7</f>
        <v>0.7142857142857143</v>
      </c>
      <c r="O12" s="194"/>
      <c r="P12" s="193" t="s">
        <v>810</v>
      </c>
      <c r="Q12" s="194"/>
      <c r="S12" s="44"/>
      <c r="T12" s="44"/>
      <c r="U12" s="178" t="s">
        <v>805</v>
      </c>
      <c r="V12" s="178"/>
      <c r="W12" s="178"/>
      <c r="X12" s="122">
        <v>2</v>
      </c>
    </row>
    <row r="13" spans="3:24" ht="16.8" x14ac:dyDescent="0.4">
      <c r="E13" s="219" t="s">
        <v>804</v>
      </c>
      <c r="F13" s="220"/>
      <c r="G13" s="221"/>
      <c r="H13" s="208">
        <v>83</v>
      </c>
      <c r="I13" s="209"/>
      <c r="J13" s="193" t="s">
        <v>808</v>
      </c>
      <c r="K13" s="194"/>
      <c r="L13" s="193" t="s">
        <v>808</v>
      </c>
      <c r="M13" s="194"/>
      <c r="N13" s="193" t="s">
        <v>808</v>
      </c>
      <c r="O13" s="194"/>
      <c r="P13" s="193"/>
      <c r="Q13" s="194"/>
      <c r="S13" s="44"/>
      <c r="T13" s="44"/>
      <c r="U13" s="178" t="s">
        <v>806</v>
      </c>
      <c r="V13" s="178"/>
      <c r="W13" s="178"/>
      <c r="X13" s="122">
        <v>9</v>
      </c>
    </row>
    <row r="14" spans="3:24" ht="16.8" x14ac:dyDescent="0.4">
      <c r="E14" s="219" t="s">
        <v>805</v>
      </c>
      <c r="F14" s="220"/>
      <c r="G14" s="221"/>
      <c r="H14" s="208">
        <v>2</v>
      </c>
      <c r="I14" s="209"/>
      <c r="J14" s="193">
        <f>60/60</f>
        <v>1</v>
      </c>
      <c r="K14" s="194"/>
      <c r="L14" s="193">
        <f>H14*J14</f>
        <v>2</v>
      </c>
      <c r="M14" s="194"/>
      <c r="N14" s="193">
        <f t="shared" si="0"/>
        <v>0.2857142857142857</v>
      </c>
      <c r="O14" s="194"/>
      <c r="P14" s="193"/>
      <c r="Q14" s="194"/>
      <c r="S14" s="44"/>
      <c r="T14" s="44"/>
      <c r="U14" s="178" t="s">
        <v>710</v>
      </c>
      <c r="V14" s="178"/>
      <c r="W14" s="178"/>
      <c r="X14" s="122">
        <v>6</v>
      </c>
    </row>
    <row r="15" spans="3:24" ht="16.8" x14ac:dyDescent="0.4">
      <c r="E15" s="219" t="s">
        <v>806</v>
      </c>
      <c r="F15" s="220"/>
      <c r="G15" s="221"/>
      <c r="H15" s="208">
        <v>9</v>
      </c>
      <c r="I15" s="209"/>
      <c r="J15" s="193">
        <f>30/60</f>
        <v>0.5</v>
      </c>
      <c r="K15" s="194"/>
      <c r="L15" s="193">
        <f>H15*J15</f>
        <v>4.5</v>
      </c>
      <c r="M15" s="194"/>
      <c r="N15" s="193">
        <f t="shared" si="0"/>
        <v>0.6428571428571429</v>
      </c>
      <c r="O15" s="194"/>
      <c r="P15" s="193"/>
      <c r="Q15" s="194"/>
      <c r="U15" s="179" t="s">
        <v>706</v>
      </c>
      <c r="V15" s="179"/>
      <c r="W15" s="179"/>
      <c r="X15" s="122">
        <v>153</v>
      </c>
    </row>
    <row r="16" spans="3:24" x14ac:dyDescent="0.3">
      <c r="E16" s="219" t="s">
        <v>710</v>
      </c>
      <c r="F16" s="220"/>
      <c r="G16" s="221"/>
      <c r="H16" s="208">
        <v>6</v>
      </c>
      <c r="I16" s="209"/>
      <c r="J16" s="193">
        <f t="shared" ref="J16" si="2">60/60</f>
        <v>1</v>
      </c>
      <c r="K16" s="194"/>
      <c r="L16" s="193">
        <f>H16*J16</f>
        <v>6</v>
      </c>
      <c r="M16" s="194"/>
      <c r="N16" s="193">
        <f t="shared" ref="N16" si="3">L16/7</f>
        <v>0.8571428571428571</v>
      </c>
      <c r="O16" s="194"/>
      <c r="P16" s="193"/>
      <c r="Q16" s="194"/>
    </row>
    <row r="17" spans="5:17" x14ac:dyDescent="0.3">
      <c r="E17" s="216" t="s">
        <v>706</v>
      </c>
      <c r="F17" s="265"/>
      <c r="G17" s="217"/>
      <c r="H17" s="216"/>
      <c r="I17" s="217"/>
      <c r="J17" s="216"/>
      <c r="K17" s="217"/>
      <c r="L17" s="216"/>
      <c r="M17" s="217"/>
      <c r="N17" s="218">
        <f>SUM(N10:O16)</f>
        <v>5.5357142857142856</v>
      </c>
      <c r="O17" s="266"/>
      <c r="P17" s="216"/>
      <c r="Q17" s="217"/>
    </row>
    <row r="19" spans="5:17" x14ac:dyDescent="0.3">
      <c r="E19" s="213" t="s">
        <v>812</v>
      </c>
      <c r="F19" s="214"/>
      <c r="G19" s="215"/>
      <c r="H19" s="213" t="s">
        <v>797</v>
      </c>
      <c r="I19" s="215"/>
      <c r="J19" s="213" t="s">
        <v>798</v>
      </c>
      <c r="K19" s="215"/>
      <c r="L19" s="213" t="s">
        <v>799</v>
      </c>
      <c r="M19" s="215"/>
      <c r="N19" s="213" t="s">
        <v>800</v>
      </c>
      <c r="O19" s="215"/>
      <c r="P19" s="213" t="s">
        <v>9</v>
      </c>
      <c r="Q19" s="215"/>
    </row>
    <row r="20" spans="5:17" x14ac:dyDescent="0.3">
      <c r="E20" s="260" t="s">
        <v>814</v>
      </c>
      <c r="F20" s="212"/>
      <c r="G20" s="261"/>
      <c r="H20" s="268">
        <v>153</v>
      </c>
      <c r="I20" s="269"/>
      <c r="J20" s="210">
        <f>15/60</f>
        <v>0.25</v>
      </c>
      <c r="K20" s="211"/>
      <c r="L20" s="210">
        <f>H20*J20</f>
        <v>38.25</v>
      </c>
      <c r="M20" s="211"/>
      <c r="N20" s="210">
        <f>L20/7</f>
        <v>5.4642857142857144</v>
      </c>
      <c r="O20" s="211"/>
      <c r="P20" s="210" t="s">
        <v>816</v>
      </c>
      <c r="Q20" s="211"/>
    </row>
    <row r="21" spans="5:17" x14ac:dyDescent="0.3">
      <c r="E21" s="219" t="s">
        <v>815</v>
      </c>
      <c r="F21" s="178"/>
      <c r="G21" s="221"/>
      <c r="H21" s="208">
        <v>153</v>
      </c>
      <c r="I21" s="209"/>
      <c r="J21" s="210">
        <f>15/60</f>
        <v>0.25</v>
      </c>
      <c r="K21" s="211"/>
      <c r="L21" s="210">
        <f>H21*J21</f>
        <v>38.25</v>
      </c>
      <c r="M21" s="211"/>
      <c r="N21" s="210">
        <f>L21/7</f>
        <v>5.4642857142857144</v>
      </c>
      <c r="O21" s="211"/>
      <c r="P21" s="210" t="s">
        <v>816</v>
      </c>
      <c r="Q21" s="211"/>
    </row>
    <row r="22" spans="5:17" x14ac:dyDescent="0.3">
      <c r="E22" s="198" t="s">
        <v>706</v>
      </c>
      <c r="F22" s="199"/>
      <c r="G22" s="200"/>
      <c r="H22" s="201"/>
      <c r="I22" s="202"/>
      <c r="J22" s="203"/>
      <c r="K22" s="204"/>
      <c r="L22" s="205"/>
      <c r="M22" s="206"/>
      <c r="N22" s="207">
        <f>SUM(N20:O21)</f>
        <v>10.928571428571429</v>
      </c>
      <c r="O22" s="200"/>
      <c r="P22" s="205"/>
      <c r="Q22" s="206"/>
    </row>
    <row r="24" spans="5:17" x14ac:dyDescent="0.3">
      <c r="E24" s="258" t="s">
        <v>818</v>
      </c>
      <c r="F24" s="195"/>
      <c r="G24" s="259"/>
      <c r="H24" s="258" t="s">
        <v>817</v>
      </c>
      <c r="I24" s="259"/>
    </row>
    <row r="25" spans="5:17" x14ac:dyDescent="0.3">
      <c r="E25" s="256" t="s">
        <v>820</v>
      </c>
      <c r="F25" s="196"/>
      <c r="G25" s="257"/>
      <c r="H25" s="189">
        <f>(N22*0.1)+(N22/H26)</f>
        <v>3.8250000000000002</v>
      </c>
      <c r="I25" s="190"/>
    </row>
    <row r="26" spans="5:17" x14ac:dyDescent="0.3">
      <c r="E26" s="186"/>
      <c r="F26" s="197"/>
      <c r="G26" s="188"/>
      <c r="H26" s="186">
        <f>H27*H28</f>
        <v>4</v>
      </c>
      <c r="I26" s="188"/>
    </row>
    <row r="27" spans="5:17" x14ac:dyDescent="0.3">
      <c r="E27" s="186" t="s">
        <v>819</v>
      </c>
      <c r="F27" s="187"/>
      <c r="G27" s="188"/>
      <c r="H27" s="186">
        <v>2</v>
      </c>
      <c r="I27" s="188"/>
    </row>
    <row r="28" spans="5:17" x14ac:dyDescent="0.3">
      <c r="E28" s="186" t="s">
        <v>821</v>
      </c>
      <c r="F28" s="187"/>
      <c r="G28" s="188"/>
      <c r="H28" s="186">
        <v>2</v>
      </c>
      <c r="I28" s="188"/>
    </row>
    <row r="29" spans="5:17" x14ac:dyDescent="0.3">
      <c r="E29" s="262"/>
      <c r="F29" s="226"/>
      <c r="G29" s="262"/>
    </row>
    <row r="32" spans="5:17" x14ac:dyDescent="0.3">
      <c r="E32" s="224" t="s">
        <v>822</v>
      </c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</row>
    <row r="33" spans="5:30" x14ac:dyDescent="0.3"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24"/>
      <c r="Q33" s="224"/>
    </row>
    <row r="34" spans="5:30" x14ac:dyDescent="0.3">
      <c r="E34" s="222" t="s">
        <v>796</v>
      </c>
      <c r="F34" s="225"/>
      <c r="G34" s="223"/>
      <c r="H34" s="222" t="s">
        <v>807</v>
      </c>
      <c r="I34" s="223"/>
      <c r="J34" s="222" t="s">
        <v>813</v>
      </c>
      <c r="K34" s="223"/>
      <c r="L34" s="222" t="s">
        <v>799</v>
      </c>
      <c r="M34" s="223"/>
      <c r="N34" s="222" t="s">
        <v>800</v>
      </c>
      <c r="O34" s="223"/>
      <c r="P34" s="222" t="s">
        <v>9</v>
      </c>
      <c r="Q34" s="223"/>
    </row>
    <row r="35" spans="5:30" x14ac:dyDescent="0.3">
      <c r="E35" s="260" t="s">
        <v>801</v>
      </c>
      <c r="F35" s="212"/>
      <c r="G35" s="261"/>
      <c r="H35" s="268">
        <v>8</v>
      </c>
      <c r="I35" s="269"/>
      <c r="J35" s="210">
        <f>75/60</f>
        <v>1.25</v>
      </c>
      <c r="K35" s="211"/>
      <c r="L35" s="210">
        <f>H35*J35</f>
        <v>10</v>
      </c>
      <c r="M35" s="211"/>
      <c r="N35" s="210">
        <f>L35/7</f>
        <v>1.4285714285714286</v>
      </c>
      <c r="O35" s="211"/>
      <c r="P35" s="210" t="s">
        <v>829</v>
      </c>
      <c r="Q35" s="211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</row>
    <row r="36" spans="5:30" x14ac:dyDescent="0.3">
      <c r="E36" s="219" t="s">
        <v>802</v>
      </c>
      <c r="F36" s="178"/>
      <c r="G36" s="221"/>
      <c r="H36" s="208">
        <v>45</v>
      </c>
      <c r="I36" s="209"/>
      <c r="J36" s="193">
        <f>15/60</f>
        <v>0.25</v>
      </c>
      <c r="K36" s="194"/>
      <c r="L36" s="193">
        <f>H36*J36</f>
        <v>11.25</v>
      </c>
      <c r="M36" s="194"/>
      <c r="N36" s="210">
        <f t="shared" ref="N36:N41" si="4">L36/7</f>
        <v>1.6071428571428572</v>
      </c>
      <c r="O36" s="211"/>
      <c r="P36" s="210" t="s">
        <v>829</v>
      </c>
      <c r="Q36" s="211"/>
      <c r="T36" s="182" t="s">
        <v>830</v>
      </c>
      <c r="U36" s="182"/>
      <c r="V36" s="182"/>
      <c r="W36" s="182"/>
      <c r="X36" s="182"/>
      <c r="Y36" s="182"/>
      <c r="Z36" s="182"/>
      <c r="AA36" s="182"/>
      <c r="AB36" s="182"/>
      <c r="AC36" s="182"/>
      <c r="AD36" s="152"/>
    </row>
    <row r="37" spans="5:30" x14ac:dyDescent="0.3">
      <c r="E37" s="219" t="s">
        <v>809</v>
      </c>
      <c r="F37" s="220"/>
      <c r="G37" s="221"/>
      <c r="H37" s="208">
        <v>83</v>
      </c>
      <c r="I37" s="209"/>
      <c r="J37" s="210">
        <v>5</v>
      </c>
      <c r="K37" s="211"/>
      <c r="L37" s="193">
        <v>5</v>
      </c>
      <c r="M37" s="194"/>
      <c r="N37" s="210">
        <f t="shared" si="4"/>
        <v>0.7142857142857143</v>
      </c>
      <c r="O37" s="211"/>
      <c r="P37" s="193" t="s">
        <v>810</v>
      </c>
      <c r="Q37" s="194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</row>
    <row r="38" spans="5:30" x14ac:dyDescent="0.3">
      <c r="E38" s="219" t="s">
        <v>804</v>
      </c>
      <c r="F38" s="220"/>
      <c r="G38" s="221"/>
      <c r="H38" s="208">
        <v>83</v>
      </c>
      <c r="I38" s="209"/>
      <c r="J38" s="193" t="s">
        <v>808</v>
      </c>
      <c r="K38" s="194"/>
      <c r="L38" s="193" t="s">
        <v>808</v>
      </c>
      <c r="M38" s="194"/>
      <c r="N38" s="210" t="s">
        <v>808</v>
      </c>
      <c r="O38" s="211"/>
      <c r="P38" s="193"/>
      <c r="Q38" s="194"/>
      <c r="T38" s="180" t="s">
        <v>823</v>
      </c>
      <c r="U38" s="180"/>
      <c r="V38" s="180" t="s">
        <v>835</v>
      </c>
      <c r="W38" s="180"/>
      <c r="X38" s="180" t="s">
        <v>800</v>
      </c>
      <c r="Y38" s="180"/>
      <c r="Z38" s="180" t="s">
        <v>9</v>
      </c>
      <c r="AA38" s="180"/>
      <c r="AB38" s="180"/>
      <c r="AC38" s="180"/>
    </row>
    <row r="39" spans="5:30" x14ac:dyDescent="0.3">
      <c r="E39" s="219" t="s">
        <v>805</v>
      </c>
      <c r="F39" s="178"/>
      <c r="G39" s="221"/>
      <c r="H39" s="208">
        <v>2</v>
      </c>
      <c r="I39" s="209"/>
      <c r="J39" s="193">
        <f>60/60</f>
        <v>1</v>
      </c>
      <c r="K39" s="194"/>
      <c r="L39" s="193">
        <f>H39*J39</f>
        <v>2</v>
      </c>
      <c r="M39" s="194"/>
      <c r="N39" s="210">
        <f t="shared" si="4"/>
        <v>0.2857142857142857</v>
      </c>
      <c r="O39" s="211"/>
      <c r="P39" s="193" t="s">
        <v>829</v>
      </c>
      <c r="Q39" s="194"/>
      <c r="T39" s="181" t="s">
        <v>824</v>
      </c>
      <c r="U39" s="181"/>
      <c r="V39" s="183">
        <f>L42</f>
        <v>38.75</v>
      </c>
      <c r="W39" s="181"/>
      <c r="X39" s="183">
        <f>V39/7</f>
        <v>5.5357142857142856</v>
      </c>
      <c r="Y39" s="183"/>
      <c r="Z39" s="181" t="s">
        <v>832</v>
      </c>
      <c r="AA39" s="181"/>
      <c r="AB39" s="181"/>
      <c r="AC39" s="181"/>
    </row>
    <row r="40" spans="5:30" x14ac:dyDescent="0.3">
      <c r="E40" s="219" t="s">
        <v>806</v>
      </c>
      <c r="F40" s="178"/>
      <c r="G40" s="221"/>
      <c r="H40" s="208">
        <v>9</v>
      </c>
      <c r="I40" s="209"/>
      <c r="J40" s="193">
        <f>30/60</f>
        <v>0.5</v>
      </c>
      <c r="K40" s="194"/>
      <c r="L40" s="193">
        <f>H40*J40</f>
        <v>4.5</v>
      </c>
      <c r="M40" s="194"/>
      <c r="N40" s="210">
        <f t="shared" si="4"/>
        <v>0.6428571428571429</v>
      </c>
      <c r="O40" s="211"/>
      <c r="P40" s="193" t="s">
        <v>829</v>
      </c>
      <c r="Q40" s="194"/>
      <c r="T40" s="181" t="s">
        <v>825</v>
      </c>
      <c r="U40" s="181"/>
      <c r="V40" s="185">
        <f>(L42/11)*7</f>
        <v>24.65909090909091</v>
      </c>
      <c r="W40" s="185"/>
      <c r="X40" s="184">
        <f>V40/7</f>
        <v>3.5227272727272729</v>
      </c>
      <c r="Y40" s="184"/>
      <c r="Z40" s="181" t="s">
        <v>833</v>
      </c>
      <c r="AA40" s="181"/>
      <c r="AB40" s="181"/>
      <c r="AC40" s="181"/>
    </row>
    <row r="41" spans="5:30" x14ac:dyDescent="0.3">
      <c r="E41" s="219" t="s">
        <v>710</v>
      </c>
      <c r="F41" s="178"/>
      <c r="G41" s="221"/>
      <c r="H41" s="208">
        <v>6</v>
      </c>
      <c r="I41" s="209"/>
      <c r="J41" s="193">
        <f t="shared" ref="J41" si="5">60/60</f>
        <v>1</v>
      </c>
      <c r="K41" s="194"/>
      <c r="L41" s="193">
        <f>H41*J41</f>
        <v>6</v>
      </c>
      <c r="M41" s="194"/>
      <c r="N41" s="210">
        <f t="shared" si="4"/>
        <v>0.8571428571428571</v>
      </c>
      <c r="O41" s="211"/>
      <c r="P41" s="210" t="s">
        <v>829</v>
      </c>
      <c r="Q41" s="211"/>
      <c r="T41" s="181" t="s">
        <v>831</v>
      </c>
      <c r="U41" s="181"/>
      <c r="V41" s="183">
        <f>V39-V40</f>
        <v>14.09090909090909</v>
      </c>
      <c r="W41" s="181"/>
      <c r="X41" s="183">
        <f>X39-X40</f>
        <v>2.0129870129870127</v>
      </c>
      <c r="Y41" s="181"/>
      <c r="Z41" s="181"/>
      <c r="AA41" s="181"/>
      <c r="AB41" s="181"/>
      <c r="AC41" s="181"/>
    </row>
    <row r="42" spans="5:30" x14ac:dyDescent="0.3">
      <c r="E42" s="216" t="s">
        <v>706</v>
      </c>
      <c r="F42" s="179"/>
      <c r="G42" s="217"/>
      <c r="H42" s="216"/>
      <c r="I42" s="217"/>
      <c r="J42" s="216"/>
      <c r="K42" s="217"/>
      <c r="L42" s="218">
        <f>SUM(L35:M41)</f>
        <v>38.75</v>
      </c>
      <c r="M42" s="217"/>
      <c r="N42" s="218">
        <f>SUM(N35:O41)</f>
        <v>5.5357142857142856</v>
      </c>
      <c r="O42" s="217"/>
      <c r="P42" s="216"/>
      <c r="Q42" s="217"/>
      <c r="T42" s="125" t="s">
        <v>834</v>
      </c>
    </row>
    <row r="44" spans="5:30" x14ac:dyDescent="0.3">
      <c r="E44" s="213" t="s">
        <v>812</v>
      </c>
      <c r="F44" s="214"/>
      <c r="G44" s="215"/>
      <c r="H44" s="213" t="s">
        <v>797</v>
      </c>
      <c r="I44" s="215"/>
      <c r="J44" s="213" t="s">
        <v>798</v>
      </c>
      <c r="K44" s="215"/>
      <c r="L44" s="213" t="s">
        <v>799</v>
      </c>
      <c r="M44" s="215"/>
      <c r="N44" s="213" t="s">
        <v>800</v>
      </c>
      <c r="O44" s="215"/>
      <c r="P44" s="213" t="s">
        <v>9</v>
      </c>
      <c r="Q44" s="215"/>
    </row>
    <row r="45" spans="5:30" x14ac:dyDescent="0.3">
      <c r="E45" s="260" t="s">
        <v>814</v>
      </c>
      <c r="F45" s="212"/>
      <c r="G45" s="261"/>
      <c r="H45" s="268">
        <v>153</v>
      </c>
      <c r="I45" s="269"/>
      <c r="J45" s="210">
        <f>15/60</f>
        <v>0.25</v>
      </c>
      <c r="K45" s="211"/>
      <c r="L45" s="210">
        <f>H45*J45</f>
        <v>38.25</v>
      </c>
      <c r="M45" s="211"/>
      <c r="N45" s="210">
        <f>L45/7</f>
        <v>5.4642857142857144</v>
      </c>
      <c r="O45" s="211"/>
      <c r="P45" s="210" t="s">
        <v>816</v>
      </c>
      <c r="Q45" s="211"/>
    </row>
    <row r="46" spans="5:30" x14ac:dyDescent="0.3">
      <c r="E46" s="219" t="s">
        <v>815</v>
      </c>
      <c r="F46" s="178"/>
      <c r="G46" s="221"/>
      <c r="H46" s="208">
        <v>153</v>
      </c>
      <c r="I46" s="209"/>
      <c r="J46" s="210">
        <f>15/60</f>
        <v>0.25</v>
      </c>
      <c r="K46" s="211"/>
      <c r="L46" s="210">
        <f>H46*J46</f>
        <v>38.25</v>
      </c>
      <c r="M46" s="211"/>
      <c r="N46" s="210">
        <f>L46/7</f>
        <v>5.4642857142857144</v>
      </c>
      <c r="O46" s="211"/>
      <c r="P46" s="210" t="s">
        <v>816</v>
      </c>
      <c r="Q46" s="211"/>
    </row>
    <row r="47" spans="5:30" x14ac:dyDescent="0.3">
      <c r="E47" s="198" t="s">
        <v>706</v>
      </c>
      <c r="F47" s="199"/>
      <c r="G47" s="200"/>
      <c r="H47" s="201"/>
      <c r="I47" s="202"/>
      <c r="J47" s="203"/>
      <c r="K47" s="204"/>
      <c r="L47" s="205"/>
      <c r="M47" s="206"/>
      <c r="N47" s="207">
        <f>SUM(N45:O46)</f>
        <v>10.928571428571429</v>
      </c>
      <c r="O47" s="200"/>
      <c r="P47" s="205"/>
      <c r="Q47" s="206"/>
    </row>
    <row r="49" spans="5:17" x14ac:dyDescent="0.3">
      <c r="E49" s="258" t="s">
        <v>818</v>
      </c>
      <c r="F49" s="195"/>
      <c r="G49" s="259"/>
      <c r="H49" s="258" t="s">
        <v>817</v>
      </c>
      <c r="I49" s="259"/>
    </row>
    <row r="50" spans="5:17" x14ac:dyDescent="0.3">
      <c r="E50" s="256" t="s">
        <v>820</v>
      </c>
      <c r="F50" s="196"/>
      <c r="G50" s="257"/>
      <c r="H50" s="189">
        <f>(N47*0.1)+(N47/H51)</f>
        <v>3.8250000000000002</v>
      </c>
      <c r="I50" s="190"/>
    </row>
    <row r="51" spans="5:17" x14ac:dyDescent="0.3">
      <c r="E51" s="186"/>
      <c r="F51" s="197"/>
      <c r="G51" s="188"/>
      <c r="H51" s="189">
        <f>H52*H53</f>
        <v>4</v>
      </c>
      <c r="I51" s="190"/>
    </row>
    <row r="52" spans="5:17" x14ac:dyDescent="0.3">
      <c r="E52" s="186" t="s">
        <v>819</v>
      </c>
      <c r="F52" s="187"/>
      <c r="G52" s="188"/>
      <c r="H52" s="189">
        <v>2</v>
      </c>
      <c r="I52" s="190"/>
    </row>
    <row r="53" spans="5:17" x14ac:dyDescent="0.3">
      <c r="E53" s="186" t="s">
        <v>821</v>
      </c>
      <c r="F53" s="187"/>
      <c r="G53" s="188"/>
      <c r="H53" s="189">
        <v>2</v>
      </c>
      <c r="I53" s="190"/>
    </row>
    <row r="58" spans="5:17" x14ac:dyDescent="0.3">
      <c r="E58" s="224" t="s">
        <v>827</v>
      </c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</row>
    <row r="59" spans="5:17" x14ac:dyDescent="0.3"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</row>
    <row r="60" spans="5:17" x14ac:dyDescent="0.3">
      <c r="E60" s="222" t="s">
        <v>796</v>
      </c>
      <c r="F60" s="225"/>
      <c r="G60" s="223"/>
      <c r="H60" s="222" t="s">
        <v>807</v>
      </c>
      <c r="I60" s="223"/>
      <c r="J60" s="222" t="s">
        <v>813</v>
      </c>
      <c r="K60" s="223"/>
      <c r="L60" s="222" t="s">
        <v>799</v>
      </c>
      <c r="M60" s="223"/>
      <c r="N60" s="222" t="s">
        <v>800</v>
      </c>
      <c r="O60" s="223"/>
      <c r="P60" s="222" t="s">
        <v>9</v>
      </c>
      <c r="Q60" s="223"/>
    </row>
    <row r="61" spans="5:17" x14ac:dyDescent="0.3">
      <c r="E61" s="260" t="s">
        <v>801</v>
      </c>
      <c r="F61" s="212"/>
      <c r="G61" s="261"/>
      <c r="H61" s="268">
        <v>8</v>
      </c>
      <c r="I61" s="269"/>
      <c r="J61" s="210">
        <f>75/60</f>
        <v>1.25</v>
      </c>
      <c r="K61" s="211"/>
      <c r="L61" s="210">
        <f>H61*J61</f>
        <v>10</v>
      </c>
      <c r="M61" s="211"/>
      <c r="N61" s="210">
        <f>L61/7</f>
        <v>1.4285714285714286</v>
      </c>
      <c r="O61" s="211"/>
      <c r="P61" s="210" t="s">
        <v>826</v>
      </c>
      <c r="Q61" s="211"/>
    </row>
    <row r="62" spans="5:17" x14ac:dyDescent="0.3">
      <c r="E62" s="219" t="s">
        <v>802</v>
      </c>
      <c r="F62" s="178"/>
      <c r="G62" s="221"/>
      <c r="H62" s="208">
        <v>45</v>
      </c>
      <c r="I62" s="209"/>
      <c r="J62" s="193">
        <f>15/60</f>
        <v>0.25</v>
      </c>
      <c r="K62" s="194"/>
      <c r="L62" s="193">
        <f>H62*J62</f>
        <v>11.25</v>
      </c>
      <c r="M62" s="194"/>
      <c r="N62" s="210">
        <f t="shared" ref="N62:N67" si="6">L62/7</f>
        <v>1.6071428571428572</v>
      </c>
      <c r="O62" s="211"/>
      <c r="P62" s="193"/>
      <c r="Q62" s="194"/>
    </row>
    <row r="63" spans="5:17" x14ac:dyDescent="0.3">
      <c r="E63" s="219" t="s">
        <v>809</v>
      </c>
      <c r="F63" s="220"/>
      <c r="G63" s="221"/>
      <c r="H63" s="208">
        <v>83</v>
      </c>
      <c r="I63" s="209"/>
      <c r="J63" s="210">
        <v>5</v>
      </c>
      <c r="K63" s="211"/>
      <c r="L63" s="193">
        <v>5</v>
      </c>
      <c r="M63" s="194"/>
      <c r="N63" s="210">
        <f t="shared" si="6"/>
        <v>0.7142857142857143</v>
      </c>
      <c r="O63" s="211"/>
      <c r="P63" s="193" t="s">
        <v>810</v>
      </c>
      <c r="Q63" s="194"/>
    </row>
    <row r="64" spans="5:17" x14ac:dyDescent="0.3">
      <c r="E64" s="219" t="s">
        <v>804</v>
      </c>
      <c r="F64" s="220"/>
      <c r="G64" s="221"/>
      <c r="H64" s="208">
        <v>83</v>
      </c>
      <c r="I64" s="209"/>
      <c r="J64" s="193" t="s">
        <v>808</v>
      </c>
      <c r="K64" s="194"/>
      <c r="L64" s="193" t="s">
        <v>808</v>
      </c>
      <c r="M64" s="194"/>
      <c r="N64" s="210" t="s">
        <v>808</v>
      </c>
      <c r="O64" s="211"/>
      <c r="P64" s="193"/>
      <c r="Q64" s="194"/>
    </row>
    <row r="65" spans="5:17" x14ac:dyDescent="0.3">
      <c r="E65" s="219" t="s">
        <v>805</v>
      </c>
      <c r="F65" s="178"/>
      <c r="G65" s="221"/>
      <c r="H65" s="208">
        <v>2</v>
      </c>
      <c r="I65" s="209"/>
      <c r="J65" s="193">
        <f>60/60</f>
        <v>1</v>
      </c>
      <c r="K65" s="194"/>
      <c r="L65" s="193">
        <f>H65*J65</f>
        <v>2</v>
      </c>
      <c r="M65" s="194"/>
      <c r="N65" s="210">
        <f t="shared" si="6"/>
        <v>0.2857142857142857</v>
      </c>
      <c r="O65" s="211"/>
      <c r="P65" s="193"/>
      <c r="Q65" s="194"/>
    </row>
    <row r="66" spans="5:17" x14ac:dyDescent="0.3">
      <c r="E66" s="219" t="s">
        <v>806</v>
      </c>
      <c r="F66" s="178"/>
      <c r="G66" s="221"/>
      <c r="H66" s="208">
        <v>9</v>
      </c>
      <c r="I66" s="209"/>
      <c r="J66" s="193">
        <f>30/60</f>
        <v>0.5</v>
      </c>
      <c r="K66" s="194"/>
      <c r="L66" s="193">
        <f>H66*J66</f>
        <v>4.5</v>
      </c>
      <c r="M66" s="194"/>
      <c r="N66" s="210">
        <f t="shared" si="6"/>
        <v>0.6428571428571429</v>
      </c>
      <c r="O66" s="211"/>
      <c r="P66" s="193"/>
      <c r="Q66" s="194"/>
    </row>
    <row r="67" spans="5:17" x14ac:dyDescent="0.3">
      <c r="E67" s="219" t="s">
        <v>710</v>
      </c>
      <c r="F67" s="178"/>
      <c r="G67" s="221"/>
      <c r="H67" s="208">
        <v>6</v>
      </c>
      <c r="I67" s="209"/>
      <c r="J67" s="193">
        <f t="shared" ref="J67" si="7">60/60</f>
        <v>1</v>
      </c>
      <c r="K67" s="194"/>
      <c r="L67" s="193">
        <f>H67*J67</f>
        <v>6</v>
      </c>
      <c r="M67" s="194"/>
      <c r="N67" s="210">
        <f t="shared" si="6"/>
        <v>0.8571428571428571</v>
      </c>
      <c r="O67" s="211"/>
      <c r="P67" s="193"/>
      <c r="Q67" s="194"/>
    </row>
    <row r="68" spans="5:17" x14ac:dyDescent="0.3">
      <c r="E68" s="216" t="s">
        <v>706</v>
      </c>
      <c r="F68" s="179"/>
      <c r="G68" s="217"/>
      <c r="H68" s="216"/>
      <c r="I68" s="217"/>
      <c r="J68" s="216"/>
      <c r="K68" s="217"/>
      <c r="L68" s="218">
        <f>SUM(L61:M67)</f>
        <v>38.75</v>
      </c>
      <c r="M68" s="217"/>
      <c r="N68" s="218">
        <f>SUM(N61:O67)</f>
        <v>5.5357142857142856</v>
      </c>
      <c r="O68" s="217"/>
      <c r="P68" s="216"/>
      <c r="Q68" s="217"/>
    </row>
    <row r="70" spans="5:17" x14ac:dyDescent="0.3">
      <c r="E70" s="213" t="s">
        <v>812</v>
      </c>
      <c r="F70" s="214"/>
      <c r="G70" s="215"/>
      <c r="H70" s="213" t="s">
        <v>797</v>
      </c>
      <c r="I70" s="215"/>
      <c r="J70" s="213" t="s">
        <v>798</v>
      </c>
      <c r="K70" s="215"/>
      <c r="L70" s="213" t="s">
        <v>799</v>
      </c>
      <c r="M70" s="215"/>
      <c r="N70" s="213" t="s">
        <v>800</v>
      </c>
      <c r="O70" s="215"/>
      <c r="P70" s="213" t="s">
        <v>9</v>
      </c>
      <c r="Q70" s="215"/>
    </row>
    <row r="71" spans="5:17" x14ac:dyDescent="0.3">
      <c r="E71" s="260" t="s">
        <v>814</v>
      </c>
      <c r="F71" s="212"/>
      <c r="G71" s="261"/>
      <c r="H71" s="268">
        <v>153</v>
      </c>
      <c r="I71" s="269"/>
      <c r="J71" s="210">
        <f>15/60</f>
        <v>0.25</v>
      </c>
      <c r="K71" s="211"/>
      <c r="L71" s="210">
        <f>H71*J71</f>
        <v>38.25</v>
      </c>
      <c r="M71" s="211"/>
      <c r="N71" s="210">
        <f>L71/7</f>
        <v>5.4642857142857144</v>
      </c>
      <c r="O71" s="211"/>
      <c r="P71" s="210" t="s">
        <v>816</v>
      </c>
      <c r="Q71" s="211"/>
    </row>
    <row r="72" spans="5:17" x14ac:dyDescent="0.3">
      <c r="E72" s="219" t="s">
        <v>815</v>
      </c>
      <c r="F72" s="178"/>
      <c r="G72" s="221"/>
      <c r="H72" s="208">
        <v>153</v>
      </c>
      <c r="I72" s="209"/>
      <c r="J72" s="210">
        <f>15/60</f>
        <v>0.25</v>
      </c>
      <c r="K72" s="211"/>
      <c r="L72" s="210">
        <f>H72*J72</f>
        <v>38.25</v>
      </c>
      <c r="M72" s="211"/>
      <c r="N72" s="210">
        <f>L72/7</f>
        <v>5.4642857142857144</v>
      </c>
      <c r="O72" s="211"/>
      <c r="P72" s="210" t="s">
        <v>816</v>
      </c>
      <c r="Q72" s="211"/>
    </row>
    <row r="73" spans="5:17" x14ac:dyDescent="0.3">
      <c r="E73" s="198" t="s">
        <v>706</v>
      </c>
      <c r="F73" s="199"/>
      <c r="G73" s="200"/>
      <c r="H73" s="201"/>
      <c r="I73" s="202"/>
      <c r="J73" s="203"/>
      <c r="K73" s="204"/>
      <c r="L73" s="205"/>
      <c r="M73" s="206"/>
      <c r="N73" s="207">
        <f>SUM(N71:O72)</f>
        <v>10.928571428571429</v>
      </c>
      <c r="O73" s="200"/>
      <c r="P73" s="205"/>
      <c r="Q73" s="206"/>
    </row>
    <row r="75" spans="5:17" x14ac:dyDescent="0.3">
      <c r="E75" s="258" t="s">
        <v>818</v>
      </c>
      <c r="F75" s="195"/>
      <c r="G75" s="259"/>
      <c r="H75" s="258" t="s">
        <v>817</v>
      </c>
      <c r="I75" s="259"/>
    </row>
    <row r="76" spans="5:17" x14ac:dyDescent="0.3">
      <c r="E76" s="256" t="s">
        <v>820</v>
      </c>
      <c r="F76" s="196"/>
      <c r="G76" s="257"/>
      <c r="H76" s="189">
        <f>(N73*0.1)+(N73/H77)</f>
        <v>2.0863636363636364</v>
      </c>
      <c r="I76" s="190"/>
    </row>
    <row r="77" spans="5:17" x14ac:dyDescent="0.3">
      <c r="E77" s="186"/>
      <c r="F77" s="197"/>
      <c r="G77" s="188"/>
      <c r="H77" s="189">
        <f>H79*H80+H78</f>
        <v>11</v>
      </c>
      <c r="I77" s="190"/>
    </row>
    <row r="78" spans="5:17" x14ac:dyDescent="0.3">
      <c r="E78" s="149"/>
      <c r="F78" s="150" t="s">
        <v>828</v>
      </c>
      <c r="G78" s="151"/>
      <c r="H78" s="191">
        <v>7</v>
      </c>
      <c r="I78" s="192"/>
    </row>
    <row r="79" spans="5:17" x14ac:dyDescent="0.3">
      <c r="E79" s="186" t="s">
        <v>819</v>
      </c>
      <c r="F79" s="187"/>
      <c r="G79" s="188"/>
      <c r="H79" s="189">
        <v>2</v>
      </c>
      <c r="I79" s="190"/>
    </row>
    <row r="80" spans="5:17" x14ac:dyDescent="0.3">
      <c r="E80" s="186" t="s">
        <v>821</v>
      </c>
      <c r="F80" s="187"/>
      <c r="G80" s="188"/>
      <c r="H80" s="189">
        <v>2</v>
      </c>
      <c r="I80" s="190"/>
    </row>
  </sheetData>
  <mergeCells count="295">
    <mergeCell ref="E9:G9"/>
    <mergeCell ref="H9:I9"/>
    <mergeCell ref="J9:K9"/>
    <mergeCell ref="L9:M9"/>
    <mergeCell ref="N9:O9"/>
    <mergeCell ref="P9:Q9"/>
    <mergeCell ref="E7:Q8"/>
    <mergeCell ref="C9:D9"/>
    <mergeCell ref="E46:G46"/>
    <mergeCell ref="E28:G28"/>
    <mergeCell ref="E29:G29"/>
    <mergeCell ref="E20:G20"/>
    <mergeCell ref="E21:G21"/>
    <mergeCell ref="H46:I46"/>
    <mergeCell ref="H28:I28"/>
    <mergeCell ref="H27:I27"/>
    <mergeCell ref="H26:I26"/>
    <mergeCell ref="H25:I25"/>
    <mergeCell ref="H20:I20"/>
    <mergeCell ref="H21:I21"/>
    <mergeCell ref="H16:I16"/>
    <mergeCell ref="H17:I17"/>
    <mergeCell ref="J10:K10"/>
    <mergeCell ref="L10:M10"/>
    <mergeCell ref="N10:O10"/>
    <mergeCell ref="J16:K16"/>
    <mergeCell ref="J17:K17"/>
    <mergeCell ref="L15:M15"/>
    <mergeCell ref="E15:G15"/>
    <mergeCell ref="E16:G16"/>
    <mergeCell ref="E17:G17"/>
    <mergeCell ref="H11:I11"/>
    <mergeCell ref="H12:I12"/>
    <mergeCell ref="H13:I13"/>
    <mergeCell ref="H14:I14"/>
    <mergeCell ref="H15:I15"/>
    <mergeCell ref="E10:G10"/>
    <mergeCell ref="E11:G11"/>
    <mergeCell ref="E12:G12"/>
    <mergeCell ref="E13:G13"/>
    <mergeCell ref="E14:G14"/>
    <mergeCell ref="H10:I10"/>
    <mergeCell ref="N16:O16"/>
    <mergeCell ref="N17:O17"/>
    <mergeCell ref="P10:Q10"/>
    <mergeCell ref="J11:K11"/>
    <mergeCell ref="J12:K12"/>
    <mergeCell ref="J13:K13"/>
    <mergeCell ref="J14:K14"/>
    <mergeCell ref="J15:K15"/>
    <mergeCell ref="L11:M11"/>
    <mergeCell ref="L12:M12"/>
    <mergeCell ref="L13:M13"/>
    <mergeCell ref="L14:M14"/>
    <mergeCell ref="E19:G19"/>
    <mergeCell ref="H19:I19"/>
    <mergeCell ref="J19:K19"/>
    <mergeCell ref="L19:M19"/>
    <mergeCell ref="N19:O19"/>
    <mergeCell ref="P19:Q19"/>
    <mergeCell ref="U8:W8"/>
    <mergeCell ref="U9:W9"/>
    <mergeCell ref="U10:W10"/>
    <mergeCell ref="U11:W11"/>
    <mergeCell ref="P11:Q11"/>
    <mergeCell ref="P12:Q12"/>
    <mergeCell ref="P13:Q13"/>
    <mergeCell ref="P14:Q14"/>
    <mergeCell ref="P15:Q15"/>
    <mergeCell ref="P16:Q16"/>
    <mergeCell ref="P17:Q17"/>
    <mergeCell ref="L16:M16"/>
    <mergeCell ref="L17:M17"/>
    <mergeCell ref="N11:O11"/>
    <mergeCell ref="N12:O12"/>
    <mergeCell ref="N13:O13"/>
    <mergeCell ref="N14:O14"/>
    <mergeCell ref="N15:O15"/>
    <mergeCell ref="N22:O22"/>
    <mergeCell ref="P22:Q22"/>
    <mergeCell ref="J21:K21"/>
    <mergeCell ref="L21:M21"/>
    <mergeCell ref="N21:O21"/>
    <mergeCell ref="P21:Q21"/>
    <mergeCell ref="J20:K20"/>
    <mergeCell ref="L20:M20"/>
    <mergeCell ref="N20:O20"/>
    <mergeCell ref="P20:Q20"/>
    <mergeCell ref="E24:G24"/>
    <mergeCell ref="E25:G25"/>
    <mergeCell ref="E26:G26"/>
    <mergeCell ref="E27:G27"/>
    <mergeCell ref="H24:I24"/>
    <mergeCell ref="E22:G22"/>
    <mergeCell ref="H22:I22"/>
    <mergeCell ref="J22:K22"/>
    <mergeCell ref="L22:M22"/>
    <mergeCell ref="E32:Q33"/>
    <mergeCell ref="E34:G34"/>
    <mergeCell ref="H34:I34"/>
    <mergeCell ref="J34:K34"/>
    <mergeCell ref="L34:M34"/>
    <mergeCell ref="N34:O34"/>
    <mergeCell ref="P34:Q34"/>
    <mergeCell ref="E36:G36"/>
    <mergeCell ref="H36:I36"/>
    <mergeCell ref="J36:K36"/>
    <mergeCell ref="L36:M36"/>
    <mergeCell ref="N36:O36"/>
    <mergeCell ref="P36:Q36"/>
    <mergeCell ref="E35:G35"/>
    <mergeCell ref="H35:I35"/>
    <mergeCell ref="J35:K35"/>
    <mergeCell ref="L35:M35"/>
    <mergeCell ref="N35:O35"/>
    <mergeCell ref="P35:Q35"/>
    <mergeCell ref="E38:G38"/>
    <mergeCell ref="H38:I38"/>
    <mergeCell ref="J38:K38"/>
    <mergeCell ref="L38:M38"/>
    <mergeCell ref="N38:O38"/>
    <mergeCell ref="P38:Q38"/>
    <mergeCell ref="E37:G37"/>
    <mergeCell ref="H37:I37"/>
    <mergeCell ref="J37:K37"/>
    <mergeCell ref="L37:M37"/>
    <mergeCell ref="N37:O37"/>
    <mergeCell ref="P37:Q37"/>
    <mergeCell ref="E40:G40"/>
    <mergeCell ref="H40:I40"/>
    <mergeCell ref="J40:K40"/>
    <mergeCell ref="L40:M40"/>
    <mergeCell ref="N40:O40"/>
    <mergeCell ref="P41:Q41"/>
    <mergeCell ref="E39:G39"/>
    <mergeCell ref="H39:I39"/>
    <mergeCell ref="J39:K39"/>
    <mergeCell ref="L39:M39"/>
    <mergeCell ref="N39:O39"/>
    <mergeCell ref="P39:Q39"/>
    <mergeCell ref="E42:G42"/>
    <mergeCell ref="H42:I42"/>
    <mergeCell ref="J42:K42"/>
    <mergeCell ref="L42:M42"/>
    <mergeCell ref="N42:O42"/>
    <mergeCell ref="P42:Q42"/>
    <mergeCell ref="E41:G41"/>
    <mergeCell ref="H41:I41"/>
    <mergeCell ref="J41:K41"/>
    <mergeCell ref="L41:M41"/>
    <mergeCell ref="N41:O41"/>
    <mergeCell ref="E45:G45"/>
    <mergeCell ref="H45:I45"/>
    <mergeCell ref="J45:K45"/>
    <mergeCell ref="L45:M45"/>
    <mergeCell ref="N45:O45"/>
    <mergeCell ref="P45:Q45"/>
    <mergeCell ref="E44:G44"/>
    <mergeCell ref="H44:I44"/>
    <mergeCell ref="J44:K44"/>
    <mergeCell ref="L44:M44"/>
    <mergeCell ref="N44:O44"/>
    <mergeCell ref="P44:Q44"/>
    <mergeCell ref="L47:M47"/>
    <mergeCell ref="N47:O47"/>
    <mergeCell ref="P47:Q47"/>
    <mergeCell ref="J46:K46"/>
    <mergeCell ref="L46:M46"/>
    <mergeCell ref="N46:O46"/>
    <mergeCell ref="P46:Q46"/>
    <mergeCell ref="E49:G49"/>
    <mergeCell ref="H49:I49"/>
    <mergeCell ref="E50:G50"/>
    <mergeCell ref="H50:I50"/>
    <mergeCell ref="E51:G51"/>
    <mergeCell ref="H51:I51"/>
    <mergeCell ref="E47:G47"/>
    <mergeCell ref="H47:I47"/>
    <mergeCell ref="J47:K47"/>
    <mergeCell ref="E52:G52"/>
    <mergeCell ref="H52:I52"/>
    <mergeCell ref="E53:G53"/>
    <mergeCell ref="H53:I53"/>
    <mergeCell ref="E58:Q59"/>
    <mergeCell ref="E60:G60"/>
    <mergeCell ref="H60:I60"/>
    <mergeCell ref="J60:K60"/>
    <mergeCell ref="L60:M60"/>
    <mergeCell ref="N60:O60"/>
    <mergeCell ref="E62:G62"/>
    <mergeCell ref="H62:I62"/>
    <mergeCell ref="J62:K62"/>
    <mergeCell ref="L62:M62"/>
    <mergeCell ref="N62:O62"/>
    <mergeCell ref="P62:Q62"/>
    <mergeCell ref="P60:Q60"/>
    <mergeCell ref="E61:G61"/>
    <mergeCell ref="H61:I61"/>
    <mergeCell ref="J61:K61"/>
    <mergeCell ref="L61:M61"/>
    <mergeCell ref="N61:O61"/>
    <mergeCell ref="P61:Q61"/>
    <mergeCell ref="E64:G64"/>
    <mergeCell ref="H64:I64"/>
    <mergeCell ref="J64:K64"/>
    <mergeCell ref="L64:M64"/>
    <mergeCell ref="N64:O64"/>
    <mergeCell ref="P64:Q64"/>
    <mergeCell ref="E63:G63"/>
    <mergeCell ref="H63:I63"/>
    <mergeCell ref="J63:K63"/>
    <mergeCell ref="L63:M63"/>
    <mergeCell ref="N63:O63"/>
    <mergeCell ref="P63:Q63"/>
    <mergeCell ref="E66:G66"/>
    <mergeCell ref="H66:I66"/>
    <mergeCell ref="J66:K66"/>
    <mergeCell ref="L66:M66"/>
    <mergeCell ref="N66:O66"/>
    <mergeCell ref="P66:Q66"/>
    <mergeCell ref="E65:G65"/>
    <mergeCell ref="H65:I65"/>
    <mergeCell ref="J65:K65"/>
    <mergeCell ref="L65:M65"/>
    <mergeCell ref="N65:O65"/>
    <mergeCell ref="P65:Q65"/>
    <mergeCell ref="E68:G68"/>
    <mergeCell ref="H68:I68"/>
    <mergeCell ref="J68:K68"/>
    <mergeCell ref="L68:M68"/>
    <mergeCell ref="N68:O68"/>
    <mergeCell ref="P68:Q68"/>
    <mergeCell ref="E67:G67"/>
    <mergeCell ref="H67:I67"/>
    <mergeCell ref="J67:K67"/>
    <mergeCell ref="L67:M67"/>
    <mergeCell ref="N67:O67"/>
    <mergeCell ref="P67:Q67"/>
    <mergeCell ref="E71:G71"/>
    <mergeCell ref="H71:I71"/>
    <mergeCell ref="J71:K71"/>
    <mergeCell ref="L71:M71"/>
    <mergeCell ref="N71:O71"/>
    <mergeCell ref="P71:Q71"/>
    <mergeCell ref="E70:G70"/>
    <mergeCell ref="H70:I70"/>
    <mergeCell ref="J70:K70"/>
    <mergeCell ref="L70:M70"/>
    <mergeCell ref="N70:O70"/>
    <mergeCell ref="P70:Q70"/>
    <mergeCell ref="E79:G79"/>
    <mergeCell ref="H79:I79"/>
    <mergeCell ref="E80:G80"/>
    <mergeCell ref="H80:I80"/>
    <mergeCell ref="H78:I78"/>
    <mergeCell ref="P40:Q40"/>
    <mergeCell ref="E75:G75"/>
    <mergeCell ref="H75:I75"/>
    <mergeCell ref="E76:G76"/>
    <mergeCell ref="H76:I76"/>
    <mergeCell ref="E77:G77"/>
    <mergeCell ref="H77:I77"/>
    <mergeCell ref="E73:G73"/>
    <mergeCell ref="H73:I73"/>
    <mergeCell ref="J73:K73"/>
    <mergeCell ref="L73:M73"/>
    <mergeCell ref="N73:O73"/>
    <mergeCell ref="P73:Q73"/>
    <mergeCell ref="E72:G72"/>
    <mergeCell ref="H72:I72"/>
    <mergeCell ref="J72:K72"/>
    <mergeCell ref="L72:M72"/>
    <mergeCell ref="N72:O72"/>
    <mergeCell ref="P72:Q72"/>
    <mergeCell ref="U12:W12"/>
    <mergeCell ref="U13:W13"/>
    <mergeCell ref="U14:W14"/>
    <mergeCell ref="U15:W15"/>
    <mergeCell ref="Z38:AC38"/>
    <mergeCell ref="Z39:AC39"/>
    <mergeCell ref="Z40:AC40"/>
    <mergeCell ref="Z41:AC41"/>
    <mergeCell ref="T36:AC37"/>
    <mergeCell ref="X38:Y38"/>
    <mergeCell ref="X39:Y39"/>
    <mergeCell ref="X40:Y40"/>
    <mergeCell ref="X41:Y41"/>
    <mergeCell ref="T38:U38"/>
    <mergeCell ref="T39:U39"/>
    <mergeCell ref="T40:U40"/>
    <mergeCell ref="T41:U41"/>
    <mergeCell ref="V38:W38"/>
    <mergeCell ref="V39:W39"/>
    <mergeCell ref="V40:W40"/>
    <mergeCell ref="V41:W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39A6-F8E0-4727-B289-793F5CB0826F}">
  <dimension ref="C10:N66"/>
  <sheetViews>
    <sheetView topLeftCell="A29" workbookViewId="0">
      <selection activeCell="L43" sqref="L43"/>
    </sheetView>
  </sheetViews>
  <sheetFormatPr defaultRowHeight="14.4" x14ac:dyDescent="0.3"/>
  <cols>
    <col min="1" max="3" width="8.88671875" style="125"/>
    <col min="4" max="4" width="24.21875" style="125" customWidth="1"/>
    <col min="5" max="5" width="8.88671875" style="125"/>
    <col min="6" max="6" width="9.6640625" style="125" bestFit="1" customWidth="1"/>
    <col min="7" max="7" width="9.109375" style="125" customWidth="1"/>
    <col min="8" max="8" width="8.88671875" style="125"/>
    <col min="9" max="9" width="37.21875" style="125" customWidth="1"/>
    <col min="10" max="10" width="8.88671875" style="125"/>
    <col min="11" max="11" width="25.44140625" style="125" customWidth="1"/>
    <col min="12" max="12" width="13.109375" style="125" customWidth="1"/>
    <col min="13" max="13" width="11.6640625" style="125" customWidth="1"/>
    <col min="14" max="14" width="22.109375" style="125" customWidth="1"/>
    <col min="15" max="17" width="8.88671875" style="125"/>
    <col min="18" max="18" width="22.33203125" style="125" customWidth="1"/>
    <col min="19" max="16384" width="8.88671875" style="125"/>
  </cols>
  <sheetData>
    <row r="10" spans="3:12" ht="16.8" x14ac:dyDescent="0.4">
      <c r="D10" s="276" t="s">
        <v>811</v>
      </c>
      <c r="E10" s="276"/>
      <c r="F10" s="276"/>
      <c r="G10" s="276"/>
      <c r="H10" s="276"/>
      <c r="I10" s="249"/>
      <c r="K10" s="252" t="s">
        <v>801</v>
      </c>
      <c r="L10" s="122">
        <v>4</v>
      </c>
    </row>
    <row r="11" spans="3:12" ht="16.8" x14ac:dyDescent="0.4">
      <c r="D11" s="277" t="s">
        <v>856</v>
      </c>
      <c r="E11" s="277" t="s">
        <v>807</v>
      </c>
      <c r="F11" s="277" t="s">
        <v>813</v>
      </c>
      <c r="G11" s="277" t="s">
        <v>799</v>
      </c>
      <c r="H11" s="277" t="s">
        <v>800</v>
      </c>
      <c r="I11" s="277" t="s">
        <v>9</v>
      </c>
      <c r="K11" s="252" t="s">
        <v>802</v>
      </c>
      <c r="L11" s="122">
        <v>9</v>
      </c>
    </row>
    <row r="12" spans="3:12" ht="16.8" x14ac:dyDescent="0.4">
      <c r="D12" s="114" t="s">
        <v>852</v>
      </c>
      <c r="E12" s="128">
        <v>130</v>
      </c>
      <c r="F12" s="278">
        <f>60/60</f>
        <v>1</v>
      </c>
      <c r="G12" s="278">
        <f>F12*1</f>
        <v>1</v>
      </c>
      <c r="H12" s="278">
        <f>G12/7</f>
        <v>0.14285714285714285</v>
      </c>
      <c r="I12" s="114"/>
      <c r="K12" s="253" t="s">
        <v>803</v>
      </c>
      <c r="L12" s="122">
        <v>130</v>
      </c>
    </row>
    <row r="13" spans="3:12" ht="16.8" x14ac:dyDescent="0.4">
      <c r="C13" s="250"/>
      <c r="D13" s="114" t="s">
        <v>853</v>
      </c>
      <c r="E13" s="292">
        <v>130</v>
      </c>
      <c r="F13" s="293">
        <f>30/60</f>
        <v>0.5</v>
      </c>
      <c r="G13" s="293">
        <f t="shared" ref="G13:G15" si="0">F13*1</f>
        <v>0.5</v>
      </c>
      <c r="H13" s="293">
        <f t="shared" ref="H13:H15" si="1">G13/7</f>
        <v>7.1428571428571425E-2</v>
      </c>
      <c r="I13" s="114"/>
      <c r="K13" s="253" t="s">
        <v>804</v>
      </c>
      <c r="L13" s="122">
        <v>0</v>
      </c>
    </row>
    <row r="14" spans="3:12" ht="16.8" x14ac:dyDescent="0.4">
      <c r="D14" s="114" t="s">
        <v>855</v>
      </c>
      <c r="E14" s="292">
        <v>46</v>
      </c>
      <c r="F14" s="293">
        <f>30/60</f>
        <v>0.5</v>
      </c>
      <c r="G14" s="293">
        <f t="shared" si="0"/>
        <v>0.5</v>
      </c>
      <c r="H14" s="293">
        <f t="shared" si="1"/>
        <v>7.1428571428571425E-2</v>
      </c>
      <c r="I14" s="114"/>
      <c r="K14" s="253" t="s">
        <v>805</v>
      </c>
      <c r="L14" s="122">
        <v>2</v>
      </c>
    </row>
    <row r="15" spans="3:12" ht="16.8" x14ac:dyDescent="0.4">
      <c r="D15" s="114" t="s">
        <v>854</v>
      </c>
      <c r="E15" s="128">
        <v>9</v>
      </c>
      <c r="F15" s="278">
        <f>15/60</f>
        <v>0.25</v>
      </c>
      <c r="G15" s="278">
        <f t="shared" si="0"/>
        <v>0.25</v>
      </c>
      <c r="H15" s="278">
        <f t="shared" si="1"/>
        <v>3.5714285714285712E-2</v>
      </c>
      <c r="I15" s="114"/>
      <c r="K15" s="253" t="s">
        <v>806</v>
      </c>
      <c r="L15" s="122">
        <v>4</v>
      </c>
    </row>
    <row r="16" spans="3:12" ht="16.8" x14ac:dyDescent="0.4">
      <c r="D16" s="291" t="s">
        <v>706</v>
      </c>
      <c r="E16" s="288"/>
      <c r="F16" s="288"/>
      <c r="G16" s="289"/>
      <c r="H16" s="290">
        <f>SUM(H12:H15)</f>
        <v>0.3214285714285714</v>
      </c>
      <c r="I16" s="288"/>
      <c r="K16" s="253" t="s">
        <v>710</v>
      </c>
      <c r="L16" s="122">
        <v>4</v>
      </c>
    </row>
    <row r="17" spans="4:12" ht="16.8" x14ac:dyDescent="0.4">
      <c r="D17" s="273" t="s">
        <v>796</v>
      </c>
      <c r="E17" s="273" t="s">
        <v>807</v>
      </c>
      <c r="F17" s="273" t="s">
        <v>813</v>
      </c>
      <c r="G17" s="273" t="s">
        <v>799</v>
      </c>
      <c r="H17" s="273" t="s">
        <v>800</v>
      </c>
      <c r="I17" s="273" t="s">
        <v>9</v>
      </c>
      <c r="K17" s="255" t="s">
        <v>706</v>
      </c>
      <c r="L17" s="122">
        <f>SUM(L10:L16)</f>
        <v>153</v>
      </c>
    </row>
    <row r="18" spans="4:12" x14ac:dyDescent="0.3">
      <c r="D18" s="252" t="s">
        <v>801</v>
      </c>
      <c r="E18" s="279">
        <v>4</v>
      </c>
      <c r="F18" s="278">
        <f>75/60</f>
        <v>1.25</v>
      </c>
      <c r="G18" s="278">
        <f>E18*F18</f>
        <v>5</v>
      </c>
      <c r="H18" s="278">
        <f>G18/7</f>
        <v>0.7142857142857143</v>
      </c>
      <c r="I18" s="274"/>
    </row>
    <row r="19" spans="4:12" x14ac:dyDescent="0.3">
      <c r="D19" s="252" t="s">
        <v>802</v>
      </c>
      <c r="E19" s="279">
        <v>9</v>
      </c>
      <c r="F19" s="278">
        <f>10/60</f>
        <v>0.16666666666666666</v>
      </c>
      <c r="G19" s="278">
        <f>E19*F19</f>
        <v>1.5</v>
      </c>
      <c r="H19" s="278">
        <f>G19/7</f>
        <v>0.21428571428571427</v>
      </c>
      <c r="I19" s="274"/>
    </row>
    <row r="20" spans="4:12" x14ac:dyDescent="0.3">
      <c r="D20" s="252" t="s">
        <v>809</v>
      </c>
      <c r="E20" s="279">
        <v>130</v>
      </c>
      <c r="F20" s="278">
        <v>3</v>
      </c>
      <c r="G20" s="278">
        <v>3</v>
      </c>
      <c r="H20" s="278">
        <f>G20/7</f>
        <v>0.42857142857142855</v>
      </c>
      <c r="I20" s="274" t="s">
        <v>810</v>
      </c>
    </row>
    <row r="21" spans="4:12" x14ac:dyDescent="0.3">
      <c r="D21" s="252" t="s">
        <v>804</v>
      </c>
      <c r="E21" s="279">
        <v>130</v>
      </c>
      <c r="F21" s="278" t="s">
        <v>808</v>
      </c>
      <c r="G21" s="278" t="s">
        <v>808</v>
      </c>
      <c r="H21" s="278" t="s">
        <v>808</v>
      </c>
      <c r="I21" s="274"/>
    </row>
    <row r="22" spans="4:12" x14ac:dyDescent="0.3">
      <c r="D22" s="252" t="s">
        <v>805</v>
      </c>
      <c r="E22" s="279">
        <v>2</v>
      </c>
      <c r="F22" s="278">
        <f>60/60</f>
        <v>1</v>
      </c>
      <c r="G22" s="278">
        <f>E22*F22</f>
        <v>2</v>
      </c>
      <c r="H22" s="278">
        <f>G22/7</f>
        <v>0.2857142857142857</v>
      </c>
      <c r="I22" s="274"/>
    </row>
    <row r="23" spans="4:12" x14ac:dyDescent="0.3">
      <c r="D23" s="252" t="s">
        <v>806</v>
      </c>
      <c r="E23" s="279">
        <v>6</v>
      </c>
      <c r="F23" s="278">
        <f>30/60</f>
        <v>0.5</v>
      </c>
      <c r="G23" s="278">
        <f>E23*F23</f>
        <v>3</v>
      </c>
      <c r="H23" s="278">
        <f>G23/7</f>
        <v>0.42857142857142855</v>
      </c>
      <c r="I23" s="274"/>
    </row>
    <row r="24" spans="4:12" x14ac:dyDescent="0.3">
      <c r="D24" s="252" t="s">
        <v>710</v>
      </c>
      <c r="E24" s="279">
        <v>4</v>
      </c>
      <c r="F24" s="278">
        <f t="shared" ref="F24" si="2">60/60</f>
        <v>1</v>
      </c>
      <c r="G24" s="278">
        <f>E24*F24</f>
        <v>4</v>
      </c>
      <c r="H24" s="278">
        <f>G24/7</f>
        <v>0.5714285714285714</v>
      </c>
      <c r="I24" s="274"/>
    </row>
    <row r="25" spans="4:12" x14ac:dyDescent="0.3">
      <c r="D25" s="147" t="s">
        <v>706</v>
      </c>
      <c r="E25" s="147"/>
      <c r="F25" s="147"/>
      <c r="G25" s="147"/>
      <c r="H25" s="275">
        <f>SUM(H18:H24)</f>
        <v>2.6428571428571423</v>
      </c>
      <c r="I25" s="147"/>
    </row>
    <row r="27" spans="4:12" x14ac:dyDescent="0.3">
      <c r="D27" s="148" t="s">
        <v>812</v>
      </c>
      <c r="E27" s="282" t="s">
        <v>797</v>
      </c>
      <c r="F27" s="282" t="s">
        <v>798</v>
      </c>
      <c r="G27" s="282" t="s">
        <v>799</v>
      </c>
      <c r="H27" s="282" t="s">
        <v>800</v>
      </c>
      <c r="I27" s="286" t="s">
        <v>9</v>
      </c>
    </row>
    <row r="28" spans="4:12" x14ac:dyDescent="0.3">
      <c r="D28" s="271" t="s">
        <v>814</v>
      </c>
      <c r="E28" s="272">
        <v>153</v>
      </c>
      <c r="F28" s="254">
        <f>5/60</f>
        <v>8.3333333333333329E-2</v>
      </c>
      <c r="G28" s="254">
        <f>E28*F28</f>
        <v>12.75</v>
      </c>
      <c r="H28" s="254">
        <f>G28/7</f>
        <v>1.8214285714285714</v>
      </c>
      <c r="I28" s="274" t="s">
        <v>816</v>
      </c>
    </row>
    <row r="29" spans="4:12" x14ac:dyDescent="0.3">
      <c r="D29" s="253" t="s">
        <v>815</v>
      </c>
      <c r="E29" s="251">
        <v>153</v>
      </c>
      <c r="F29" s="254">
        <f>5/60</f>
        <v>8.3333333333333329E-2</v>
      </c>
      <c r="G29" s="254">
        <f>E29*F29</f>
        <v>12.75</v>
      </c>
      <c r="H29" s="254">
        <f>G29/7</f>
        <v>1.8214285714285714</v>
      </c>
      <c r="I29" s="274" t="s">
        <v>816</v>
      </c>
    </row>
    <row r="30" spans="4:12" x14ac:dyDescent="0.3">
      <c r="D30" s="280" t="s">
        <v>706</v>
      </c>
      <c r="E30" s="281"/>
      <c r="F30" s="283"/>
      <c r="G30" s="284">
        <f>SUM(G28:G29)</f>
        <v>25.5</v>
      </c>
      <c r="H30" s="285">
        <f>SUM(H28:H29)</f>
        <v>3.6428571428571428</v>
      </c>
      <c r="I30" s="287"/>
    </row>
    <row r="32" spans="4:12" ht="14.4" customHeight="1" x14ac:dyDescent="0.3">
      <c r="D32" s="270" t="s">
        <v>818</v>
      </c>
      <c r="E32" s="296" t="s">
        <v>817</v>
      </c>
    </row>
    <row r="33" spans="4:14" ht="14.4" customHeight="1" x14ac:dyDescent="0.3">
      <c r="D33" s="295" t="s">
        <v>820</v>
      </c>
      <c r="E33" s="297">
        <f>(H30*0.1)+(G30/H30)</f>
        <v>7.3642857142857139</v>
      </c>
    </row>
    <row r="34" spans="4:14" x14ac:dyDescent="0.3">
      <c r="D34" s="294"/>
      <c r="E34" s="298">
        <f>E35*E36</f>
        <v>4</v>
      </c>
    </row>
    <row r="35" spans="4:14" x14ac:dyDescent="0.3">
      <c r="D35" s="294" t="s">
        <v>819</v>
      </c>
      <c r="E35" s="298">
        <v>2</v>
      </c>
    </row>
    <row r="36" spans="4:14" x14ac:dyDescent="0.3">
      <c r="D36" s="294" t="s">
        <v>821</v>
      </c>
      <c r="E36" s="298">
        <v>2</v>
      </c>
    </row>
    <row r="40" spans="4:14" ht="15.6" x14ac:dyDescent="0.3">
      <c r="D40" s="276" t="s">
        <v>822</v>
      </c>
      <c r="E40" s="276"/>
      <c r="F40" s="276"/>
      <c r="G40" s="276"/>
      <c r="H40" s="276"/>
      <c r="I40" s="249"/>
      <c r="K40" s="299" t="s">
        <v>830</v>
      </c>
      <c r="L40" s="299"/>
      <c r="M40" s="299"/>
      <c r="N40" s="299"/>
    </row>
    <row r="41" spans="4:14" x14ac:dyDescent="0.3">
      <c r="D41" s="277" t="s">
        <v>856</v>
      </c>
      <c r="E41" s="277" t="s">
        <v>807</v>
      </c>
      <c r="F41" s="277" t="s">
        <v>813</v>
      </c>
      <c r="G41" s="277" t="s">
        <v>799</v>
      </c>
      <c r="H41" s="277" t="s">
        <v>800</v>
      </c>
      <c r="I41" s="277" t="s">
        <v>9</v>
      </c>
      <c r="K41" s="301" t="s">
        <v>823</v>
      </c>
      <c r="L41" s="301" t="s">
        <v>835</v>
      </c>
      <c r="M41" s="301" t="s">
        <v>800</v>
      </c>
      <c r="N41" s="301" t="s">
        <v>9</v>
      </c>
    </row>
    <row r="42" spans="4:14" x14ac:dyDescent="0.3">
      <c r="D42" s="114" t="s">
        <v>852</v>
      </c>
      <c r="E42" s="278">
        <v>130</v>
      </c>
      <c r="F42" s="278">
        <f>60/60</f>
        <v>1</v>
      </c>
      <c r="G42" s="278">
        <f>F42*1</f>
        <v>1</v>
      </c>
      <c r="H42" s="278">
        <f>G42/7</f>
        <v>0.14285714285714285</v>
      </c>
      <c r="I42" s="114"/>
      <c r="K42" s="300" t="s">
        <v>824</v>
      </c>
      <c r="L42" s="302">
        <f>G50</f>
        <v>3</v>
      </c>
      <c r="M42" s="302">
        <f>H46/7</f>
        <v>4.5918367346938771E-2</v>
      </c>
      <c r="N42" s="300" t="s">
        <v>832</v>
      </c>
    </row>
    <row r="43" spans="4:14" x14ac:dyDescent="0.3">
      <c r="D43" s="114" t="s">
        <v>853</v>
      </c>
      <c r="E43" s="293">
        <v>130</v>
      </c>
      <c r="F43" s="293">
        <f>30/60</f>
        <v>0.5</v>
      </c>
      <c r="G43" s="293">
        <f t="shared" ref="G43:G45" si="3">F43*1</f>
        <v>0.5</v>
      </c>
      <c r="H43" s="293">
        <f t="shared" ref="H43:H45" si="4">G43/7</f>
        <v>7.1428571428571425E-2</v>
      </c>
      <c r="I43" s="114"/>
      <c r="K43" s="300" t="s">
        <v>825</v>
      </c>
      <c r="L43" s="303">
        <f>(G50/11)*7</f>
        <v>1.9090909090909089</v>
      </c>
      <c r="M43" s="304">
        <f>L43/7</f>
        <v>0.27272727272727271</v>
      </c>
      <c r="N43" s="300" t="s">
        <v>833</v>
      </c>
    </row>
    <row r="44" spans="4:14" ht="14.4" customHeight="1" x14ac:dyDescent="0.3">
      <c r="D44" s="114" t="s">
        <v>855</v>
      </c>
      <c r="E44" s="293">
        <v>46</v>
      </c>
      <c r="F44" s="293">
        <f>30/60</f>
        <v>0.5</v>
      </c>
      <c r="G44" s="293">
        <f t="shared" si="3"/>
        <v>0.5</v>
      </c>
      <c r="H44" s="293">
        <f t="shared" si="4"/>
        <v>7.1428571428571425E-2</v>
      </c>
      <c r="I44" s="114"/>
      <c r="K44" s="300" t="s">
        <v>831</v>
      </c>
      <c r="L44" s="302">
        <f>L42-L43</f>
        <v>1.0909090909090911</v>
      </c>
      <c r="M44" s="302">
        <f>M42-M43</f>
        <v>-0.22680890538033394</v>
      </c>
      <c r="N44" s="300"/>
    </row>
    <row r="45" spans="4:14" ht="14.4" customHeight="1" x14ac:dyDescent="0.3">
      <c r="D45" s="114" t="s">
        <v>854</v>
      </c>
      <c r="E45" s="278">
        <v>9</v>
      </c>
      <c r="F45" s="278">
        <f>15/60</f>
        <v>0.25</v>
      </c>
      <c r="G45" s="278">
        <f t="shared" si="3"/>
        <v>0.25</v>
      </c>
      <c r="H45" s="278">
        <f t="shared" si="4"/>
        <v>3.5714285714285712E-2</v>
      </c>
      <c r="I45" s="114"/>
      <c r="K45" s="125" t="s">
        <v>834</v>
      </c>
    </row>
    <row r="46" spans="4:14" x14ac:dyDescent="0.3">
      <c r="D46" s="291" t="s">
        <v>706</v>
      </c>
      <c r="E46" s="288"/>
      <c r="F46" s="288"/>
      <c r="G46" s="289"/>
      <c r="H46" s="290">
        <f>SUM(H42:H45)</f>
        <v>0.3214285714285714</v>
      </c>
      <c r="I46" s="288"/>
    </row>
    <row r="47" spans="4:14" x14ac:dyDescent="0.3">
      <c r="D47" s="273" t="s">
        <v>796</v>
      </c>
      <c r="E47" s="273" t="s">
        <v>807</v>
      </c>
      <c r="F47" s="273" t="s">
        <v>813</v>
      </c>
      <c r="G47" s="273" t="s">
        <v>799</v>
      </c>
      <c r="H47" s="273" t="s">
        <v>800</v>
      </c>
      <c r="I47" s="273" t="s">
        <v>9</v>
      </c>
    </row>
    <row r="48" spans="4:14" x14ac:dyDescent="0.3">
      <c r="D48" s="252" t="s">
        <v>801</v>
      </c>
      <c r="E48" s="279">
        <v>4</v>
      </c>
      <c r="F48" s="278">
        <f>75/60</f>
        <v>1.25</v>
      </c>
      <c r="G48" s="278">
        <f>E48*F48</f>
        <v>5</v>
      </c>
      <c r="H48" s="278">
        <f>G48/7</f>
        <v>0.7142857142857143</v>
      </c>
      <c r="I48" s="274"/>
    </row>
    <row r="49" spans="4:9" x14ac:dyDescent="0.3">
      <c r="D49" s="252" t="s">
        <v>802</v>
      </c>
      <c r="E49" s="279">
        <v>9</v>
      </c>
      <c r="F49" s="278">
        <f>10/60</f>
        <v>0.16666666666666666</v>
      </c>
      <c r="G49" s="278">
        <f>E49*F49</f>
        <v>1.5</v>
      </c>
      <c r="H49" s="278">
        <f>G49/7</f>
        <v>0.21428571428571427</v>
      </c>
      <c r="I49" s="274"/>
    </row>
    <row r="50" spans="4:9" x14ac:dyDescent="0.3">
      <c r="D50" s="252" t="s">
        <v>809</v>
      </c>
      <c r="E50" s="279">
        <v>130</v>
      </c>
      <c r="F50" s="278">
        <v>3</v>
      </c>
      <c r="G50" s="278">
        <v>3</v>
      </c>
      <c r="H50" s="278">
        <f>G50/7</f>
        <v>0.42857142857142855</v>
      </c>
      <c r="I50" s="274" t="s">
        <v>810</v>
      </c>
    </row>
    <row r="51" spans="4:9" x14ac:dyDescent="0.3">
      <c r="D51" s="252" t="s">
        <v>804</v>
      </c>
      <c r="E51" s="279">
        <v>130</v>
      </c>
      <c r="F51" s="278" t="s">
        <v>808</v>
      </c>
      <c r="G51" s="278" t="s">
        <v>808</v>
      </c>
      <c r="H51" s="278" t="s">
        <v>808</v>
      </c>
      <c r="I51" s="274"/>
    </row>
    <row r="52" spans="4:9" x14ac:dyDescent="0.3">
      <c r="D52" s="252" t="s">
        <v>805</v>
      </c>
      <c r="E52" s="279">
        <v>2</v>
      </c>
      <c r="F52" s="278">
        <f>60/60</f>
        <v>1</v>
      </c>
      <c r="G52" s="278">
        <f>E52*F52</f>
        <v>2</v>
      </c>
      <c r="H52" s="278">
        <f>G52/7</f>
        <v>0.2857142857142857</v>
      </c>
      <c r="I52" s="274"/>
    </row>
    <row r="53" spans="4:9" x14ac:dyDescent="0.3">
      <c r="D53" s="252" t="s">
        <v>806</v>
      </c>
      <c r="E53" s="279">
        <v>6</v>
      </c>
      <c r="F53" s="278">
        <f>30/60</f>
        <v>0.5</v>
      </c>
      <c r="G53" s="278">
        <f>E53*F53</f>
        <v>3</v>
      </c>
      <c r="H53" s="278">
        <f>G53/7</f>
        <v>0.42857142857142855</v>
      </c>
      <c r="I53" s="274"/>
    </row>
    <row r="54" spans="4:9" x14ac:dyDescent="0.3">
      <c r="D54" s="252" t="s">
        <v>710</v>
      </c>
      <c r="E54" s="279">
        <v>4</v>
      </c>
      <c r="F54" s="278">
        <f t="shared" ref="F54" si="5">60/60</f>
        <v>1</v>
      </c>
      <c r="G54" s="278">
        <f>E54*F54</f>
        <v>4</v>
      </c>
      <c r="H54" s="278">
        <f>G54/7</f>
        <v>0.5714285714285714</v>
      </c>
      <c r="I54" s="274"/>
    </row>
    <row r="55" spans="4:9" x14ac:dyDescent="0.3">
      <c r="D55" s="147" t="s">
        <v>706</v>
      </c>
      <c r="E55" s="147"/>
      <c r="F55" s="147"/>
      <c r="G55" s="147"/>
      <c r="H55" s="275">
        <f>SUM(H48:H54)</f>
        <v>2.6428571428571423</v>
      </c>
      <c r="I55" s="147"/>
    </row>
    <row r="57" spans="4:9" x14ac:dyDescent="0.3">
      <c r="D57" s="148" t="s">
        <v>812</v>
      </c>
      <c r="E57" s="282" t="s">
        <v>797</v>
      </c>
      <c r="F57" s="282" t="s">
        <v>798</v>
      </c>
      <c r="G57" s="282" t="s">
        <v>799</v>
      </c>
      <c r="H57" s="282" t="s">
        <v>800</v>
      </c>
      <c r="I57" s="286" t="s">
        <v>9</v>
      </c>
    </row>
    <row r="58" spans="4:9" x14ac:dyDescent="0.3">
      <c r="D58" s="271" t="s">
        <v>814</v>
      </c>
      <c r="E58" s="272">
        <v>153</v>
      </c>
      <c r="F58" s="254">
        <f>5/60</f>
        <v>8.3333333333333329E-2</v>
      </c>
      <c r="G58" s="254">
        <f>E58*F58</f>
        <v>12.75</v>
      </c>
      <c r="H58" s="254">
        <f>G58/7</f>
        <v>1.8214285714285714</v>
      </c>
      <c r="I58" s="274" t="s">
        <v>816</v>
      </c>
    </row>
    <row r="59" spans="4:9" x14ac:dyDescent="0.3">
      <c r="D59" s="253" t="s">
        <v>815</v>
      </c>
      <c r="E59" s="251">
        <v>153</v>
      </c>
      <c r="F59" s="254">
        <f>5/60</f>
        <v>8.3333333333333329E-2</v>
      </c>
      <c r="G59" s="254">
        <f>E59*F59</f>
        <v>12.75</v>
      </c>
      <c r="H59" s="254">
        <f>G59/7</f>
        <v>1.8214285714285714</v>
      </c>
      <c r="I59" s="274" t="s">
        <v>816</v>
      </c>
    </row>
    <row r="60" spans="4:9" x14ac:dyDescent="0.3">
      <c r="D60" s="280" t="s">
        <v>706</v>
      </c>
      <c r="E60" s="281"/>
      <c r="F60" s="283"/>
      <c r="G60" s="284">
        <f>SUM(G58:G59)</f>
        <v>25.5</v>
      </c>
      <c r="H60" s="285">
        <f>SUM(H58:H59)</f>
        <v>3.6428571428571428</v>
      </c>
      <c r="I60" s="287"/>
    </row>
    <row r="62" spans="4:9" x14ac:dyDescent="0.3">
      <c r="D62" s="270" t="s">
        <v>818</v>
      </c>
      <c r="E62" s="296" t="s">
        <v>817</v>
      </c>
    </row>
    <row r="63" spans="4:9" x14ac:dyDescent="0.3">
      <c r="D63" s="295" t="s">
        <v>820</v>
      </c>
      <c r="E63" s="297">
        <f>(H60*0.1)+(G60/H60)</f>
        <v>7.3642857142857139</v>
      </c>
    </row>
    <row r="64" spans="4:9" x14ac:dyDescent="0.3">
      <c r="D64" s="294"/>
      <c r="E64" s="298">
        <f>E65*E66</f>
        <v>4</v>
      </c>
    </row>
    <row r="65" spans="4:5" x14ac:dyDescent="0.3">
      <c r="D65" s="294" t="s">
        <v>819</v>
      </c>
      <c r="E65" s="298">
        <v>2</v>
      </c>
    </row>
    <row r="66" spans="4:5" x14ac:dyDescent="0.3">
      <c r="D66" s="294" t="s">
        <v>821</v>
      </c>
      <c r="E66" s="29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EBDA-EB2A-44E1-8B6D-65CDCB2B0A09}">
  <dimension ref="A1:I118"/>
  <sheetViews>
    <sheetView topLeftCell="A45" workbookViewId="0">
      <selection activeCell="D108" sqref="D108:D109"/>
    </sheetView>
  </sheetViews>
  <sheetFormatPr defaultRowHeight="14.4" x14ac:dyDescent="0.3"/>
  <cols>
    <col min="1" max="1" width="8.88671875" customWidth="1"/>
    <col min="2" max="2" width="70.88671875" bestFit="1" customWidth="1"/>
    <col min="3" max="3" width="6.44140625" customWidth="1"/>
    <col min="4" max="4" width="9.6640625" customWidth="1"/>
    <col min="6" max="6" width="70.88671875" bestFit="1" customWidth="1"/>
  </cols>
  <sheetData>
    <row r="1" spans="1:9" ht="18" x14ac:dyDescent="0.3">
      <c r="A1" s="229" t="s">
        <v>836</v>
      </c>
      <c r="B1" s="230"/>
      <c r="C1" s="231" t="s">
        <v>837</v>
      </c>
      <c r="D1" s="231"/>
      <c r="E1" s="232"/>
      <c r="F1" s="167" t="s">
        <v>838</v>
      </c>
      <c r="G1" s="153"/>
      <c r="H1" s="153"/>
      <c r="I1" s="153"/>
    </row>
    <row r="2" spans="1:9" x14ac:dyDescent="0.3">
      <c r="A2" s="165" t="s">
        <v>839</v>
      </c>
      <c r="B2" s="166" t="s">
        <v>840</v>
      </c>
      <c r="C2" s="166" t="s">
        <v>841</v>
      </c>
      <c r="D2" s="166" t="s">
        <v>842</v>
      </c>
      <c r="E2" s="166" t="s">
        <v>843</v>
      </c>
      <c r="F2" s="166" t="s">
        <v>844</v>
      </c>
      <c r="G2" s="153"/>
      <c r="H2" s="175" t="s">
        <v>845</v>
      </c>
      <c r="I2" s="175" t="s">
        <v>846</v>
      </c>
    </row>
    <row r="3" spans="1:9" x14ac:dyDescent="0.3">
      <c r="A3" s="168">
        <v>0</v>
      </c>
      <c r="B3" s="155" t="s">
        <v>314</v>
      </c>
      <c r="C3" s="155" t="s">
        <v>844</v>
      </c>
      <c r="D3" s="155" t="s">
        <v>844</v>
      </c>
      <c r="E3" s="155" t="s">
        <v>844</v>
      </c>
      <c r="F3" s="155" t="s">
        <v>314</v>
      </c>
      <c r="G3" s="153"/>
      <c r="H3" s="163" t="s">
        <v>844</v>
      </c>
      <c r="I3" s="162" t="s">
        <v>847</v>
      </c>
    </row>
    <row r="4" spans="1:9" x14ac:dyDescent="0.3">
      <c r="A4" s="168">
        <v>1</v>
      </c>
      <c r="B4" s="155" t="s">
        <v>315</v>
      </c>
      <c r="C4" s="155">
        <v>1</v>
      </c>
      <c r="D4" s="155" t="s">
        <v>355</v>
      </c>
      <c r="E4" s="155" t="s">
        <v>315</v>
      </c>
      <c r="F4" s="155" t="s">
        <v>315</v>
      </c>
      <c r="G4" s="153"/>
      <c r="H4" s="164" t="s">
        <v>844</v>
      </c>
      <c r="I4" s="162" t="s">
        <v>848</v>
      </c>
    </row>
    <row r="5" spans="1:9" x14ac:dyDescent="0.3">
      <c r="A5" s="168">
        <v>2</v>
      </c>
      <c r="B5" s="155" t="s">
        <v>316</v>
      </c>
      <c r="C5" s="155" t="s">
        <v>844</v>
      </c>
      <c r="D5" s="155" t="s">
        <v>844</v>
      </c>
      <c r="E5" s="155" t="s">
        <v>844</v>
      </c>
      <c r="F5" s="155" t="s">
        <v>316</v>
      </c>
      <c r="G5" s="153"/>
      <c r="H5" s="176"/>
      <c r="I5" s="153" t="s">
        <v>849</v>
      </c>
    </row>
    <row r="6" spans="1:9" x14ac:dyDescent="0.3">
      <c r="A6" s="169">
        <v>3</v>
      </c>
      <c r="B6" s="156" t="s">
        <v>498</v>
      </c>
      <c r="C6" s="155" t="s">
        <v>844</v>
      </c>
      <c r="D6" s="155" t="s">
        <v>844</v>
      </c>
      <c r="E6" s="155" t="s">
        <v>844</v>
      </c>
      <c r="F6" s="157" t="s">
        <v>317</v>
      </c>
      <c r="G6" s="153"/>
      <c r="H6" s="153"/>
      <c r="I6" s="153"/>
    </row>
    <row r="7" spans="1:9" x14ac:dyDescent="0.3">
      <c r="A7" s="169">
        <v>4</v>
      </c>
      <c r="B7" s="156" t="s">
        <v>499</v>
      </c>
      <c r="C7" s="155" t="s">
        <v>844</v>
      </c>
      <c r="D7" s="155" t="s">
        <v>844</v>
      </c>
      <c r="E7" s="155" t="s">
        <v>844</v>
      </c>
      <c r="F7" s="157" t="s">
        <v>850</v>
      </c>
      <c r="G7" s="153"/>
      <c r="H7" s="153"/>
      <c r="I7" s="153"/>
    </row>
    <row r="8" spans="1:9" x14ac:dyDescent="0.3">
      <c r="A8" s="169">
        <v>5</v>
      </c>
      <c r="B8" s="156" t="s">
        <v>500</v>
      </c>
      <c r="C8" s="155" t="s">
        <v>844</v>
      </c>
      <c r="D8" s="155" t="s">
        <v>844</v>
      </c>
      <c r="E8" s="155" t="s">
        <v>844</v>
      </c>
      <c r="F8" s="157" t="s">
        <v>850</v>
      </c>
      <c r="G8" s="153"/>
      <c r="H8" s="153"/>
      <c r="I8" s="153"/>
    </row>
    <row r="9" spans="1:9" x14ac:dyDescent="0.3">
      <c r="A9" s="168">
        <v>6</v>
      </c>
      <c r="B9" s="155" t="s">
        <v>318</v>
      </c>
      <c r="C9" s="155" t="s">
        <v>844</v>
      </c>
      <c r="D9" s="155" t="s">
        <v>844</v>
      </c>
      <c r="E9" s="155" t="s">
        <v>844</v>
      </c>
      <c r="F9" s="155" t="s">
        <v>318</v>
      </c>
      <c r="G9" s="153"/>
      <c r="H9" s="153"/>
      <c r="I9" s="153"/>
    </row>
    <row r="10" spans="1:9" x14ac:dyDescent="0.3">
      <c r="A10" s="168">
        <v>7</v>
      </c>
      <c r="B10" s="155" t="s">
        <v>319</v>
      </c>
      <c r="C10" s="155" t="s">
        <v>844</v>
      </c>
      <c r="D10" s="155" t="s">
        <v>844</v>
      </c>
      <c r="E10" s="155" t="s">
        <v>844</v>
      </c>
      <c r="F10" s="155" t="s">
        <v>319</v>
      </c>
      <c r="G10" s="153"/>
      <c r="H10" s="153"/>
      <c r="I10" s="153"/>
    </row>
    <row r="11" spans="1:9" x14ac:dyDescent="0.3">
      <c r="A11" s="168">
        <v>8</v>
      </c>
      <c r="B11" s="155" t="s">
        <v>320</v>
      </c>
      <c r="C11" s="155">
        <v>3</v>
      </c>
      <c r="D11" s="155" t="s">
        <v>356</v>
      </c>
      <c r="E11" s="155" t="s">
        <v>320</v>
      </c>
      <c r="F11" s="155" t="s">
        <v>320</v>
      </c>
      <c r="G11" s="153"/>
      <c r="H11" s="153"/>
      <c r="I11" s="153"/>
    </row>
    <row r="12" spans="1:9" x14ac:dyDescent="0.3">
      <c r="A12" s="168">
        <v>9</v>
      </c>
      <c r="B12" s="155" t="s">
        <v>321</v>
      </c>
      <c r="C12" s="155">
        <v>4</v>
      </c>
      <c r="D12" s="155" t="s">
        <v>357</v>
      </c>
      <c r="E12" s="155" t="s">
        <v>321</v>
      </c>
      <c r="F12" s="155" t="s">
        <v>321</v>
      </c>
      <c r="G12" s="153"/>
      <c r="H12" s="153"/>
      <c r="I12" s="153"/>
    </row>
    <row r="13" spans="1:9" x14ac:dyDescent="0.3">
      <c r="A13" s="168">
        <v>10</v>
      </c>
      <c r="B13" s="155" t="s">
        <v>322</v>
      </c>
      <c r="C13" s="155">
        <v>5</v>
      </c>
      <c r="D13" s="155" t="s">
        <v>358</v>
      </c>
      <c r="E13" s="155" t="s">
        <v>322</v>
      </c>
      <c r="F13" s="155" t="s">
        <v>322</v>
      </c>
      <c r="G13" s="153"/>
      <c r="H13" s="153"/>
      <c r="I13" s="153"/>
    </row>
    <row r="14" spans="1:9" x14ac:dyDescent="0.3">
      <c r="A14" s="169">
        <v>100</v>
      </c>
      <c r="B14" s="156" t="s">
        <v>323</v>
      </c>
      <c r="C14" s="155">
        <v>8</v>
      </c>
      <c r="D14" s="155" t="s">
        <v>359</v>
      </c>
      <c r="E14" s="155" t="s">
        <v>323</v>
      </c>
      <c r="F14" s="157" t="s">
        <v>323</v>
      </c>
      <c r="G14" s="153"/>
      <c r="H14" s="153"/>
      <c r="I14" s="153"/>
    </row>
    <row r="15" spans="1:9" x14ac:dyDescent="0.3">
      <c r="A15" s="169">
        <v>101</v>
      </c>
      <c r="B15" s="156" t="s">
        <v>724</v>
      </c>
      <c r="C15" s="155" t="s">
        <v>844</v>
      </c>
      <c r="D15" s="155" t="s">
        <v>844</v>
      </c>
      <c r="E15" s="155" t="s">
        <v>844</v>
      </c>
      <c r="F15" s="157" t="s">
        <v>851</v>
      </c>
      <c r="G15" s="153"/>
      <c r="H15" s="153"/>
      <c r="I15" s="153"/>
    </row>
    <row r="16" spans="1:9" x14ac:dyDescent="0.3">
      <c r="A16" s="169">
        <v>102</v>
      </c>
      <c r="B16" s="156" t="s">
        <v>324</v>
      </c>
      <c r="C16" s="155">
        <v>20</v>
      </c>
      <c r="D16" s="155" t="s">
        <v>360</v>
      </c>
      <c r="E16" s="155" t="s">
        <v>324</v>
      </c>
      <c r="F16" s="157" t="s">
        <v>324</v>
      </c>
      <c r="G16" s="153"/>
      <c r="H16" s="153"/>
      <c r="I16" s="153"/>
    </row>
    <row r="17" spans="1:6" x14ac:dyDescent="0.3">
      <c r="A17" s="168">
        <v>103</v>
      </c>
      <c r="B17" s="155" t="s">
        <v>325</v>
      </c>
      <c r="C17" s="155">
        <v>11</v>
      </c>
      <c r="D17" s="155" t="s">
        <v>361</v>
      </c>
      <c r="E17" s="155" t="s">
        <v>325</v>
      </c>
      <c r="F17" s="155" t="s">
        <v>325</v>
      </c>
    </row>
    <row r="18" spans="1:6" x14ac:dyDescent="0.3">
      <c r="A18" s="168">
        <v>104</v>
      </c>
      <c r="B18" s="155" t="s">
        <v>326</v>
      </c>
      <c r="C18" s="155">
        <v>14</v>
      </c>
      <c r="D18" s="155" t="s">
        <v>362</v>
      </c>
      <c r="E18" s="155" t="s">
        <v>326</v>
      </c>
      <c r="F18" s="155" t="s">
        <v>326</v>
      </c>
    </row>
    <row r="19" spans="1:6" x14ac:dyDescent="0.3">
      <c r="A19" s="169">
        <v>105</v>
      </c>
      <c r="B19" s="156" t="s">
        <v>317</v>
      </c>
      <c r="C19" s="155">
        <v>2</v>
      </c>
      <c r="D19" s="155" t="s">
        <v>363</v>
      </c>
      <c r="E19" s="155" t="s">
        <v>317</v>
      </c>
      <c r="F19" s="155" t="s">
        <v>317</v>
      </c>
    </row>
    <row r="20" spans="1:6" x14ac:dyDescent="0.3">
      <c r="A20" s="168">
        <v>106</v>
      </c>
      <c r="B20" s="155" t="s">
        <v>327</v>
      </c>
      <c r="C20" s="155">
        <v>10</v>
      </c>
      <c r="D20" s="155" t="s">
        <v>364</v>
      </c>
      <c r="E20" s="155" t="s">
        <v>327</v>
      </c>
      <c r="F20" s="155" t="s">
        <v>327</v>
      </c>
    </row>
    <row r="21" spans="1:6" x14ac:dyDescent="0.3">
      <c r="A21" s="168">
        <v>11</v>
      </c>
      <c r="B21" s="155" t="s">
        <v>725</v>
      </c>
      <c r="C21" s="155" t="s">
        <v>844</v>
      </c>
      <c r="D21" s="155" t="s">
        <v>844</v>
      </c>
      <c r="E21" s="155" t="s">
        <v>844</v>
      </c>
      <c r="F21" s="155" t="s">
        <v>725</v>
      </c>
    </row>
    <row r="22" spans="1:6" x14ac:dyDescent="0.3">
      <c r="A22" s="168">
        <v>12</v>
      </c>
      <c r="B22" s="155" t="s">
        <v>726</v>
      </c>
      <c r="C22" s="155" t="s">
        <v>844</v>
      </c>
      <c r="D22" s="155" t="s">
        <v>844</v>
      </c>
      <c r="E22" s="155" t="s">
        <v>844</v>
      </c>
      <c r="F22" s="155" t="s">
        <v>726</v>
      </c>
    </row>
    <row r="23" spans="1:6" x14ac:dyDescent="0.3">
      <c r="A23" s="168">
        <v>13</v>
      </c>
      <c r="B23" s="155" t="s">
        <v>727</v>
      </c>
      <c r="C23" s="155" t="s">
        <v>844</v>
      </c>
      <c r="D23" s="155" t="s">
        <v>844</v>
      </c>
      <c r="E23" s="155" t="s">
        <v>844</v>
      </c>
      <c r="F23" s="155" t="s">
        <v>727</v>
      </c>
    </row>
    <row r="24" spans="1:6" x14ac:dyDescent="0.3">
      <c r="A24" s="168">
        <v>14</v>
      </c>
      <c r="B24" s="155" t="s">
        <v>328</v>
      </c>
      <c r="C24" s="155">
        <v>6</v>
      </c>
      <c r="D24" s="155" t="s">
        <v>365</v>
      </c>
      <c r="E24" s="155" t="s">
        <v>328</v>
      </c>
      <c r="F24" s="155" t="s">
        <v>328</v>
      </c>
    </row>
    <row r="25" spans="1:6" x14ac:dyDescent="0.3">
      <c r="A25" s="168">
        <v>15</v>
      </c>
      <c r="B25" s="155" t="s">
        <v>329</v>
      </c>
      <c r="C25" s="155">
        <v>7</v>
      </c>
      <c r="D25" s="155" t="s">
        <v>366</v>
      </c>
      <c r="E25" s="155" t="s">
        <v>329</v>
      </c>
      <c r="F25" s="155" t="s">
        <v>329</v>
      </c>
    </row>
    <row r="26" spans="1:6" x14ac:dyDescent="0.3">
      <c r="A26" s="169">
        <v>16</v>
      </c>
      <c r="B26" s="156" t="s">
        <v>728</v>
      </c>
      <c r="C26" s="155" t="s">
        <v>844</v>
      </c>
      <c r="D26" s="155" t="s">
        <v>844</v>
      </c>
      <c r="E26" s="155" t="s">
        <v>844</v>
      </c>
      <c r="F26" s="157" t="s">
        <v>323</v>
      </c>
    </row>
    <row r="27" spans="1:6" x14ac:dyDescent="0.3">
      <c r="A27" s="169">
        <v>17</v>
      </c>
      <c r="B27" s="156" t="s">
        <v>729</v>
      </c>
      <c r="C27" s="155" t="s">
        <v>844</v>
      </c>
      <c r="D27" s="155" t="s">
        <v>844</v>
      </c>
      <c r="E27" s="155" t="s">
        <v>844</v>
      </c>
      <c r="F27" s="157" t="s">
        <v>323</v>
      </c>
    </row>
    <row r="28" spans="1:6" x14ac:dyDescent="0.3">
      <c r="A28" s="168">
        <v>18</v>
      </c>
      <c r="B28" s="155" t="s">
        <v>330</v>
      </c>
      <c r="C28" s="155">
        <v>9</v>
      </c>
      <c r="D28" s="155" t="s">
        <v>367</v>
      </c>
      <c r="E28" s="155" t="s">
        <v>330</v>
      </c>
      <c r="F28" s="155" t="s">
        <v>330</v>
      </c>
    </row>
    <row r="29" spans="1:6" x14ac:dyDescent="0.3">
      <c r="A29" s="168">
        <v>19</v>
      </c>
      <c r="B29" s="155" t="s">
        <v>730</v>
      </c>
      <c r="C29" s="155" t="s">
        <v>844</v>
      </c>
      <c r="D29" s="155" t="s">
        <v>844</v>
      </c>
      <c r="E29" s="155" t="s">
        <v>844</v>
      </c>
      <c r="F29" s="155" t="s">
        <v>730</v>
      </c>
    </row>
    <row r="30" spans="1:6" x14ac:dyDescent="0.3">
      <c r="A30" s="168">
        <v>20</v>
      </c>
      <c r="B30" s="155" t="s">
        <v>731</v>
      </c>
      <c r="C30" s="155" t="s">
        <v>844</v>
      </c>
      <c r="D30" s="155" t="s">
        <v>844</v>
      </c>
      <c r="E30" s="155" t="s">
        <v>844</v>
      </c>
      <c r="F30" s="155" t="s">
        <v>731</v>
      </c>
    </row>
    <row r="31" spans="1:6" x14ac:dyDescent="0.3">
      <c r="A31" s="168">
        <v>21</v>
      </c>
      <c r="B31" s="155" t="s">
        <v>732</v>
      </c>
      <c r="C31" s="155" t="s">
        <v>844</v>
      </c>
      <c r="D31" s="155" t="s">
        <v>844</v>
      </c>
      <c r="E31" s="155" t="s">
        <v>844</v>
      </c>
      <c r="F31" s="155" t="s">
        <v>732</v>
      </c>
    </row>
    <row r="32" spans="1:6" x14ac:dyDescent="0.3">
      <c r="A32" s="168">
        <v>22</v>
      </c>
      <c r="B32" s="155" t="s">
        <v>733</v>
      </c>
      <c r="C32" s="155" t="s">
        <v>844</v>
      </c>
      <c r="D32" s="155" t="s">
        <v>844</v>
      </c>
      <c r="E32" s="155" t="s">
        <v>844</v>
      </c>
      <c r="F32" s="155" t="s">
        <v>733</v>
      </c>
    </row>
    <row r="33" spans="1:6" x14ac:dyDescent="0.3">
      <c r="A33" s="168">
        <v>23</v>
      </c>
      <c r="B33" s="155" t="s">
        <v>734</v>
      </c>
      <c r="C33" s="155" t="s">
        <v>844</v>
      </c>
      <c r="D33" s="155" t="s">
        <v>844</v>
      </c>
      <c r="E33" s="155" t="s">
        <v>844</v>
      </c>
      <c r="F33" s="155" t="s">
        <v>734</v>
      </c>
    </row>
    <row r="34" spans="1:6" x14ac:dyDescent="0.3">
      <c r="A34" s="168">
        <v>24</v>
      </c>
      <c r="B34" s="155" t="s">
        <v>331</v>
      </c>
      <c r="C34" s="155">
        <v>30</v>
      </c>
      <c r="D34" s="155" t="s">
        <v>368</v>
      </c>
      <c r="E34" s="155" t="s">
        <v>331</v>
      </c>
      <c r="F34" s="155" t="s">
        <v>331</v>
      </c>
    </row>
    <row r="35" spans="1:6" x14ac:dyDescent="0.3">
      <c r="A35" s="168">
        <v>25</v>
      </c>
      <c r="B35" s="155" t="s">
        <v>332</v>
      </c>
      <c r="C35" s="155">
        <v>34</v>
      </c>
      <c r="D35" s="155" t="s">
        <v>369</v>
      </c>
      <c r="E35" s="155" t="s">
        <v>332</v>
      </c>
      <c r="F35" s="155" t="s">
        <v>332</v>
      </c>
    </row>
    <row r="36" spans="1:6" x14ac:dyDescent="0.3">
      <c r="A36" s="168">
        <v>26</v>
      </c>
      <c r="B36" s="155" t="s">
        <v>735</v>
      </c>
      <c r="C36" s="155" t="s">
        <v>844</v>
      </c>
      <c r="D36" s="155" t="s">
        <v>844</v>
      </c>
      <c r="E36" s="155" t="s">
        <v>844</v>
      </c>
      <c r="F36" s="155" t="s">
        <v>735</v>
      </c>
    </row>
    <row r="37" spans="1:6" x14ac:dyDescent="0.3">
      <c r="A37" s="168">
        <v>27</v>
      </c>
      <c r="B37" s="155" t="s">
        <v>736</v>
      </c>
      <c r="C37" s="155" t="s">
        <v>844</v>
      </c>
      <c r="D37" s="155" t="s">
        <v>844</v>
      </c>
      <c r="E37" s="155" t="s">
        <v>844</v>
      </c>
      <c r="F37" s="155" t="s">
        <v>736</v>
      </c>
    </row>
    <row r="38" spans="1:6" x14ac:dyDescent="0.3">
      <c r="A38" s="168">
        <v>28</v>
      </c>
      <c r="B38" s="155" t="s">
        <v>737</v>
      </c>
      <c r="C38" s="155" t="s">
        <v>844</v>
      </c>
      <c r="D38" s="155" t="s">
        <v>844</v>
      </c>
      <c r="E38" s="155" t="s">
        <v>844</v>
      </c>
      <c r="F38" s="155" t="s">
        <v>737</v>
      </c>
    </row>
    <row r="39" spans="1:6" x14ac:dyDescent="0.3">
      <c r="A39" s="168">
        <v>29</v>
      </c>
      <c r="B39" s="155" t="s">
        <v>738</v>
      </c>
      <c r="C39" s="155" t="s">
        <v>844</v>
      </c>
      <c r="D39" s="155" t="s">
        <v>844</v>
      </c>
      <c r="E39" s="155" t="s">
        <v>844</v>
      </c>
      <c r="F39" s="155" t="s">
        <v>738</v>
      </c>
    </row>
    <row r="40" spans="1:6" x14ac:dyDescent="0.3">
      <c r="A40" s="168">
        <v>30</v>
      </c>
      <c r="B40" s="155" t="s">
        <v>739</v>
      </c>
      <c r="C40" s="155" t="s">
        <v>844</v>
      </c>
      <c r="D40" s="155" t="s">
        <v>844</v>
      </c>
      <c r="E40" s="155" t="s">
        <v>844</v>
      </c>
      <c r="F40" s="155" t="s">
        <v>739</v>
      </c>
    </row>
    <row r="41" spans="1:6" x14ac:dyDescent="0.3">
      <c r="A41" s="168">
        <v>31</v>
      </c>
      <c r="B41" s="155" t="s">
        <v>740</v>
      </c>
      <c r="C41" s="155" t="s">
        <v>844</v>
      </c>
      <c r="D41" s="155" t="s">
        <v>844</v>
      </c>
      <c r="E41" s="155" t="s">
        <v>844</v>
      </c>
      <c r="F41" s="155" t="s">
        <v>740</v>
      </c>
    </row>
    <row r="42" spans="1:6" x14ac:dyDescent="0.3">
      <c r="A42" s="168">
        <v>32</v>
      </c>
      <c r="B42" s="155" t="s">
        <v>741</v>
      </c>
      <c r="C42" s="155" t="s">
        <v>844</v>
      </c>
      <c r="D42" s="155" t="s">
        <v>844</v>
      </c>
      <c r="E42" s="155" t="s">
        <v>844</v>
      </c>
      <c r="F42" s="155" t="s">
        <v>741</v>
      </c>
    </row>
    <row r="43" spans="1:6" x14ac:dyDescent="0.3">
      <c r="A43" s="168">
        <v>33</v>
      </c>
      <c r="B43" s="155" t="s">
        <v>742</v>
      </c>
      <c r="C43" s="155" t="s">
        <v>844</v>
      </c>
      <c r="D43" s="155" t="s">
        <v>844</v>
      </c>
      <c r="E43" s="155" t="s">
        <v>844</v>
      </c>
      <c r="F43" s="155" t="s">
        <v>742</v>
      </c>
    </row>
    <row r="44" spans="1:6" x14ac:dyDescent="0.3">
      <c r="A44" s="168">
        <v>34</v>
      </c>
      <c r="B44" s="155" t="s">
        <v>743</v>
      </c>
      <c r="C44" s="155" t="s">
        <v>844</v>
      </c>
      <c r="D44" s="155" t="s">
        <v>844</v>
      </c>
      <c r="E44" s="155" t="s">
        <v>844</v>
      </c>
      <c r="F44" s="155" t="s">
        <v>743</v>
      </c>
    </row>
    <row r="45" spans="1:6" x14ac:dyDescent="0.3">
      <c r="A45" s="168">
        <v>35</v>
      </c>
      <c r="B45" s="155" t="s">
        <v>744</v>
      </c>
      <c r="C45" s="155" t="s">
        <v>844</v>
      </c>
      <c r="D45" s="155" t="s">
        <v>844</v>
      </c>
      <c r="E45" s="155" t="s">
        <v>844</v>
      </c>
      <c r="F45" s="155" t="s">
        <v>744</v>
      </c>
    </row>
    <row r="46" spans="1:6" x14ac:dyDescent="0.3">
      <c r="A46" s="168">
        <v>36</v>
      </c>
      <c r="B46" s="155" t="s">
        <v>745</v>
      </c>
      <c r="C46" s="155" t="s">
        <v>844</v>
      </c>
      <c r="D46" s="155" t="s">
        <v>844</v>
      </c>
      <c r="E46" s="155" t="s">
        <v>844</v>
      </c>
      <c r="F46" s="155" t="s">
        <v>745</v>
      </c>
    </row>
    <row r="47" spans="1:6" x14ac:dyDescent="0.3">
      <c r="A47" s="168">
        <v>37</v>
      </c>
      <c r="B47" s="155" t="s">
        <v>746</v>
      </c>
      <c r="C47" s="155" t="s">
        <v>844</v>
      </c>
      <c r="D47" s="155" t="s">
        <v>844</v>
      </c>
      <c r="E47" s="155" t="s">
        <v>844</v>
      </c>
      <c r="F47" s="155" t="s">
        <v>746</v>
      </c>
    </row>
    <row r="48" spans="1:6" x14ac:dyDescent="0.3">
      <c r="A48" s="168">
        <v>38</v>
      </c>
      <c r="B48" s="155" t="s">
        <v>747</v>
      </c>
      <c r="C48" s="155" t="s">
        <v>844</v>
      </c>
      <c r="D48" s="155" t="s">
        <v>844</v>
      </c>
      <c r="E48" s="155" t="s">
        <v>844</v>
      </c>
      <c r="F48" s="155" t="s">
        <v>747</v>
      </c>
    </row>
    <row r="49" spans="1:6" x14ac:dyDescent="0.3">
      <c r="A49" s="168">
        <v>39</v>
      </c>
      <c r="B49" s="155" t="s">
        <v>748</v>
      </c>
      <c r="C49" s="155" t="s">
        <v>844</v>
      </c>
      <c r="D49" s="155" t="s">
        <v>844</v>
      </c>
      <c r="E49" s="155" t="s">
        <v>844</v>
      </c>
      <c r="F49" s="155" t="s">
        <v>748</v>
      </c>
    </row>
    <row r="50" spans="1:6" x14ac:dyDescent="0.3">
      <c r="A50" s="168">
        <v>40</v>
      </c>
      <c r="B50" s="155" t="s">
        <v>749</v>
      </c>
      <c r="C50" s="155" t="s">
        <v>844</v>
      </c>
      <c r="D50" s="155" t="s">
        <v>844</v>
      </c>
      <c r="E50" s="155" t="s">
        <v>844</v>
      </c>
      <c r="F50" s="155" t="s">
        <v>749</v>
      </c>
    </row>
    <row r="51" spans="1:6" x14ac:dyDescent="0.3">
      <c r="A51" s="169">
        <v>41</v>
      </c>
      <c r="B51" s="156" t="s">
        <v>750</v>
      </c>
      <c r="C51" s="155" t="s">
        <v>844</v>
      </c>
      <c r="D51" s="155" t="s">
        <v>844</v>
      </c>
      <c r="E51" s="155" t="s">
        <v>844</v>
      </c>
      <c r="F51" s="157" t="s">
        <v>851</v>
      </c>
    </row>
    <row r="52" spans="1:6" x14ac:dyDescent="0.3">
      <c r="A52" s="168">
        <v>42</v>
      </c>
      <c r="B52" s="155" t="s">
        <v>751</v>
      </c>
      <c r="C52" s="155" t="s">
        <v>844</v>
      </c>
      <c r="D52" s="155" t="s">
        <v>844</v>
      </c>
      <c r="E52" s="155" t="s">
        <v>844</v>
      </c>
      <c r="F52" s="155" t="s">
        <v>751</v>
      </c>
    </row>
    <row r="53" spans="1:6" x14ac:dyDescent="0.3">
      <c r="A53" s="168">
        <v>43</v>
      </c>
      <c r="B53" s="155" t="s">
        <v>752</v>
      </c>
      <c r="C53" s="155" t="s">
        <v>844</v>
      </c>
      <c r="D53" s="155" t="s">
        <v>844</v>
      </c>
      <c r="E53" s="155" t="s">
        <v>844</v>
      </c>
      <c r="F53" s="155" t="s">
        <v>752</v>
      </c>
    </row>
    <row r="54" spans="1:6" x14ac:dyDescent="0.3">
      <c r="A54" s="168">
        <v>44</v>
      </c>
      <c r="B54" s="155" t="s">
        <v>753</v>
      </c>
      <c r="C54" s="155" t="s">
        <v>844</v>
      </c>
      <c r="D54" s="155" t="s">
        <v>844</v>
      </c>
      <c r="E54" s="155" t="s">
        <v>844</v>
      </c>
      <c r="F54" s="155" t="s">
        <v>753</v>
      </c>
    </row>
    <row r="55" spans="1:6" x14ac:dyDescent="0.3">
      <c r="A55" s="168">
        <v>45</v>
      </c>
      <c r="B55" s="155" t="s">
        <v>754</v>
      </c>
      <c r="C55" s="155" t="s">
        <v>844</v>
      </c>
      <c r="D55" s="155" t="s">
        <v>844</v>
      </c>
      <c r="E55" s="155" t="s">
        <v>844</v>
      </c>
      <c r="F55" s="155" t="s">
        <v>754</v>
      </c>
    </row>
    <row r="56" spans="1:6" x14ac:dyDescent="0.3">
      <c r="A56" s="168">
        <v>46</v>
      </c>
      <c r="B56" s="155" t="s">
        <v>755</v>
      </c>
      <c r="C56" s="155" t="s">
        <v>844</v>
      </c>
      <c r="D56" s="155" t="s">
        <v>844</v>
      </c>
      <c r="E56" s="155" t="s">
        <v>844</v>
      </c>
      <c r="F56" s="155" t="s">
        <v>755</v>
      </c>
    </row>
    <row r="57" spans="1:6" x14ac:dyDescent="0.3">
      <c r="A57" s="170">
        <v>47</v>
      </c>
      <c r="B57" s="158" t="s">
        <v>756</v>
      </c>
      <c r="C57" s="158">
        <v>13</v>
      </c>
      <c r="D57" s="158" t="s">
        <v>370</v>
      </c>
      <c r="E57" s="158" t="s">
        <v>351</v>
      </c>
      <c r="F57" s="157" t="s">
        <v>756</v>
      </c>
    </row>
    <row r="58" spans="1:6" x14ac:dyDescent="0.3">
      <c r="A58" s="168">
        <v>48</v>
      </c>
      <c r="B58" s="155" t="s">
        <v>757</v>
      </c>
      <c r="C58" s="155" t="s">
        <v>844</v>
      </c>
      <c r="D58" s="155" t="s">
        <v>844</v>
      </c>
      <c r="E58" s="155" t="s">
        <v>844</v>
      </c>
      <c r="F58" s="155" t="s">
        <v>757</v>
      </c>
    </row>
    <row r="59" spans="1:6" x14ac:dyDescent="0.3">
      <c r="A59" s="168">
        <v>49</v>
      </c>
      <c r="B59" s="155" t="s">
        <v>758</v>
      </c>
      <c r="C59" s="155" t="s">
        <v>844</v>
      </c>
      <c r="D59" s="155" t="s">
        <v>844</v>
      </c>
      <c r="E59" s="155" t="s">
        <v>844</v>
      </c>
      <c r="F59" s="155" t="s">
        <v>758</v>
      </c>
    </row>
    <row r="60" spans="1:6" x14ac:dyDescent="0.3">
      <c r="A60" s="168">
        <v>50</v>
      </c>
      <c r="B60" s="155" t="s">
        <v>333</v>
      </c>
      <c r="C60" s="155">
        <v>15</v>
      </c>
      <c r="D60" s="155" t="s">
        <v>371</v>
      </c>
      <c r="E60" s="155" t="s">
        <v>333</v>
      </c>
      <c r="F60" s="155" t="s">
        <v>333</v>
      </c>
    </row>
    <row r="61" spans="1:6" x14ac:dyDescent="0.3">
      <c r="A61" s="168">
        <v>51</v>
      </c>
      <c r="B61" s="155" t="s">
        <v>759</v>
      </c>
      <c r="C61" s="155" t="s">
        <v>844</v>
      </c>
      <c r="D61" s="155" t="s">
        <v>844</v>
      </c>
      <c r="E61" s="155" t="s">
        <v>844</v>
      </c>
      <c r="F61" s="155" t="s">
        <v>759</v>
      </c>
    </row>
    <row r="62" spans="1:6" x14ac:dyDescent="0.3">
      <c r="A62" s="168">
        <v>52</v>
      </c>
      <c r="B62" s="155" t="s">
        <v>760</v>
      </c>
      <c r="C62" s="155" t="s">
        <v>844</v>
      </c>
      <c r="D62" s="155" t="s">
        <v>844</v>
      </c>
      <c r="E62" s="155" t="s">
        <v>844</v>
      </c>
      <c r="F62" s="155" t="s">
        <v>760</v>
      </c>
    </row>
    <row r="63" spans="1:6" x14ac:dyDescent="0.3">
      <c r="A63" s="168">
        <v>53</v>
      </c>
      <c r="B63" s="155" t="s">
        <v>761</v>
      </c>
      <c r="C63" s="155" t="s">
        <v>844</v>
      </c>
      <c r="D63" s="155" t="s">
        <v>844</v>
      </c>
      <c r="E63" s="155" t="s">
        <v>844</v>
      </c>
      <c r="F63" s="155" t="s">
        <v>761</v>
      </c>
    </row>
    <row r="64" spans="1:6" x14ac:dyDescent="0.3">
      <c r="A64" s="168">
        <v>54</v>
      </c>
      <c r="B64" s="155" t="s">
        <v>762</v>
      </c>
      <c r="C64" s="155" t="s">
        <v>844</v>
      </c>
      <c r="D64" s="155" t="s">
        <v>844</v>
      </c>
      <c r="E64" s="155" t="s">
        <v>844</v>
      </c>
      <c r="F64" s="155" t="s">
        <v>762</v>
      </c>
    </row>
    <row r="65" spans="1:6" x14ac:dyDescent="0.3">
      <c r="A65" s="168">
        <v>55</v>
      </c>
      <c r="B65" s="155" t="s">
        <v>763</v>
      </c>
      <c r="C65" s="155" t="s">
        <v>844</v>
      </c>
      <c r="D65" s="155" t="s">
        <v>844</v>
      </c>
      <c r="E65" s="155" t="s">
        <v>844</v>
      </c>
      <c r="F65" s="155" t="s">
        <v>763</v>
      </c>
    </row>
    <row r="66" spans="1:6" x14ac:dyDescent="0.3">
      <c r="A66" s="168">
        <v>56</v>
      </c>
      <c r="B66" s="155" t="s">
        <v>764</v>
      </c>
      <c r="C66" s="155" t="s">
        <v>844</v>
      </c>
      <c r="D66" s="155" t="s">
        <v>844</v>
      </c>
      <c r="E66" s="155" t="s">
        <v>844</v>
      </c>
      <c r="F66" s="155" t="s">
        <v>764</v>
      </c>
    </row>
    <row r="67" spans="1:6" x14ac:dyDescent="0.3">
      <c r="A67" s="168">
        <v>57</v>
      </c>
      <c r="B67" s="155" t="s">
        <v>765</v>
      </c>
      <c r="C67" s="155" t="s">
        <v>844</v>
      </c>
      <c r="D67" s="155" t="s">
        <v>844</v>
      </c>
      <c r="E67" s="155" t="s">
        <v>844</v>
      </c>
      <c r="F67" s="155" t="s">
        <v>765</v>
      </c>
    </row>
    <row r="68" spans="1:6" x14ac:dyDescent="0.3">
      <c r="A68" s="168">
        <v>58</v>
      </c>
      <c r="B68" s="155" t="s">
        <v>766</v>
      </c>
      <c r="C68" s="155" t="s">
        <v>844</v>
      </c>
      <c r="D68" s="155" t="s">
        <v>844</v>
      </c>
      <c r="E68" s="155" t="s">
        <v>844</v>
      </c>
      <c r="F68" s="155" t="s">
        <v>766</v>
      </c>
    </row>
    <row r="69" spans="1:6" x14ac:dyDescent="0.3">
      <c r="A69" s="168">
        <v>59</v>
      </c>
      <c r="B69" s="155" t="s">
        <v>334</v>
      </c>
      <c r="C69" s="155">
        <v>16</v>
      </c>
      <c r="D69" s="155" t="s">
        <v>372</v>
      </c>
      <c r="E69" s="155" t="s">
        <v>334</v>
      </c>
      <c r="F69" s="155" t="s">
        <v>334</v>
      </c>
    </row>
    <row r="70" spans="1:6" x14ac:dyDescent="0.3">
      <c r="A70" s="170">
        <v>60</v>
      </c>
      <c r="B70" s="158" t="s">
        <v>767</v>
      </c>
      <c r="C70" s="158">
        <v>22</v>
      </c>
      <c r="D70" s="158" t="s">
        <v>373</v>
      </c>
      <c r="E70" s="158" t="s">
        <v>352</v>
      </c>
      <c r="F70" s="157" t="s">
        <v>767</v>
      </c>
    </row>
    <row r="71" spans="1:6" x14ac:dyDescent="0.3">
      <c r="A71" s="168">
        <v>61</v>
      </c>
      <c r="B71" s="155" t="s">
        <v>768</v>
      </c>
      <c r="C71" s="155" t="s">
        <v>844</v>
      </c>
      <c r="D71" s="155" t="s">
        <v>844</v>
      </c>
      <c r="E71" s="155" t="s">
        <v>844</v>
      </c>
      <c r="F71" s="155" t="s">
        <v>768</v>
      </c>
    </row>
    <row r="72" spans="1:6" x14ac:dyDescent="0.3">
      <c r="A72" s="168">
        <v>62</v>
      </c>
      <c r="B72" s="155" t="s">
        <v>769</v>
      </c>
      <c r="C72" s="155" t="s">
        <v>844</v>
      </c>
      <c r="D72" s="155" t="s">
        <v>844</v>
      </c>
      <c r="E72" s="155" t="s">
        <v>844</v>
      </c>
      <c r="F72" s="155" t="s">
        <v>769</v>
      </c>
    </row>
    <row r="73" spans="1:6" x14ac:dyDescent="0.3">
      <c r="A73" s="168">
        <v>63</v>
      </c>
      <c r="B73" s="155" t="s">
        <v>770</v>
      </c>
      <c r="C73" s="155" t="s">
        <v>844</v>
      </c>
      <c r="D73" s="155" t="s">
        <v>844</v>
      </c>
      <c r="E73" s="155" t="s">
        <v>844</v>
      </c>
      <c r="F73" s="155" t="s">
        <v>770</v>
      </c>
    </row>
    <row r="74" spans="1:6" x14ac:dyDescent="0.3">
      <c r="A74" s="168">
        <v>64</v>
      </c>
      <c r="B74" s="155" t="s">
        <v>771</v>
      </c>
      <c r="C74" s="155" t="s">
        <v>844</v>
      </c>
      <c r="D74" s="155" t="s">
        <v>844</v>
      </c>
      <c r="E74" s="155" t="s">
        <v>844</v>
      </c>
      <c r="F74" s="155" t="s">
        <v>771</v>
      </c>
    </row>
    <row r="75" spans="1:6" x14ac:dyDescent="0.3">
      <c r="A75" s="169">
        <v>65</v>
      </c>
      <c r="B75" s="156" t="s">
        <v>772</v>
      </c>
      <c r="C75" s="155" t="s">
        <v>844</v>
      </c>
      <c r="D75" s="155" t="s">
        <v>844</v>
      </c>
      <c r="E75" s="155" t="s">
        <v>844</v>
      </c>
      <c r="F75" s="157" t="s">
        <v>335</v>
      </c>
    </row>
    <row r="76" spans="1:6" x14ac:dyDescent="0.3">
      <c r="A76" s="169">
        <v>66</v>
      </c>
      <c r="B76" s="156" t="s">
        <v>773</v>
      </c>
      <c r="C76" s="155" t="s">
        <v>844</v>
      </c>
      <c r="D76" s="155" t="s">
        <v>844</v>
      </c>
      <c r="E76" s="155" t="s">
        <v>844</v>
      </c>
      <c r="F76" s="157" t="s">
        <v>335</v>
      </c>
    </row>
    <row r="77" spans="1:6" x14ac:dyDescent="0.3">
      <c r="A77" s="168">
        <v>67</v>
      </c>
      <c r="B77" s="155" t="s">
        <v>336</v>
      </c>
      <c r="C77" s="155">
        <v>19</v>
      </c>
      <c r="D77" s="155" t="s">
        <v>374</v>
      </c>
      <c r="E77" s="155" t="s">
        <v>336</v>
      </c>
      <c r="F77" s="155" t="s">
        <v>336</v>
      </c>
    </row>
    <row r="78" spans="1:6" x14ac:dyDescent="0.3">
      <c r="A78" s="169">
        <v>68</v>
      </c>
      <c r="B78" s="156" t="s">
        <v>774</v>
      </c>
      <c r="C78" s="155" t="s">
        <v>844</v>
      </c>
      <c r="D78" s="155" t="s">
        <v>844</v>
      </c>
      <c r="E78" s="155" t="s">
        <v>844</v>
      </c>
      <c r="F78" s="157" t="s">
        <v>324</v>
      </c>
    </row>
    <row r="79" spans="1:6" x14ac:dyDescent="0.3">
      <c r="A79" s="169">
        <v>69</v>
      </c>
      <c r="B79" s="156" t="s">
        <v>775</v>
      </c>
      <c r="C79" s="155" t="s">
        <v>844</v>
      </c>
      <c r="D79" s="155" t="s">
        <v>844</v>
      </c>
      <c r="E79" s="155" t="s">
        <v>844</v>
      </c>
      <c r="F79" s="157" t="s">
        <v>324</v>
      </c>
    </row>
    <row r="80" spans="1:6" x14ac:dyDescent="0.3">
      <c r="A80" s="168">
        <v>70</v>
      </c>
      <c r="B80" s="155" t="s">
        <v>776</v>
      </c>
      <c r="C80" s="155" t="s">
        <v>844</v>
      </c>
      <c r="D80" s="155" t="s">
        <v>844</v>
      </c>
      <c r="E80" s="155" t="s">
        <v>844</v>
      </c>
      <c r="F80" s="155" t="s">
        <v>776</v>
      </c>
    </row>
    <row r="81" spans="1:6" x14ac:dyDescent="0.3">
      <c r="A81" s="168">
        <v>71</v>
      </c>
      <c r="B81" s="155" t="s">
        <v>337</v>
      </c>
      <c r="C81" s="155">
        <v>21</v>
      </c>
      <c r="D81" s="155" t="s">
        <v>375</v>
      </c>
      <c r="E81" s="155" t="s">
        <v>337</v>
      </c>
      <c r="F81" s="155" t="s">
        <v>337</v>
      </c>
    </row>
    <row r="82" spans="1:6" x14ac:dyDescent="0.3">
      <c r="A82" s="168">
        <v>72</v>
      </c>
      <c r="B82" s="155" t="s">
        <v>338</v>
      </c>
      <c r="C82" s="155">
        <v>23</v>
      </c>
      <c r="D82" s="155" t="s">
        <v>376</v>
      </c>
      <c r="E82" s="155" t="s">
        <v>338</v>
      </c>
      <c r="F82" s="155" t="s">
        <v>338</v>
      </c>
    </row>
    <row r="83" spans="1:6" x14ac:dyDescent="0.3">
      <c r="A83" s="168">
        <v>73</v>
      </c>
      <c r="B83" s="155" t="s">
        <v>339</v>
      </c>
      <c r="C83" s="155">
        <v>25</v>
      </c>
      <c r="D83" s="155" t="s">
        <v>377</v>
      </c>
      <c r="E83" s="155" t="s">
        <v>339</v>
      </c>
      <c r="F83" s="155" t="s">
        <v>339</v>
      </c>
    </row>
    <row r="84" spans="1:6" x14ac:dyDescent="0.3">
      <c r="A84" s="168">
        <v>74</v>
      </c>
      <c r="B84" s="155" t="s">
        <v>777</v>
      </c>
      <c r="C84" s="155" t="s">
        <v>844</v>
      </c>
      <c r="D84" s="155" t="s">
        <v>844</v>
      </c>
      <c r="E84" s="155" t="s">
        <v>844</v>
      </c>
      <c r="F84" s="155" t="s">
        <v>777</v>
      </c>
    </row>
    <row r="85" spans="1:6" x14ac:dyDescent="0.3">
      <c r="A85" s="168">
        <v>75</v>
      </c>
      <c r="B85" s="155" t="s">
        <v>778</v>
      </c>
      <c r="C85" s="155" t="s">
        <v>844</v>
      </c>
      <c r="D85" s="155" t="s">
        <v>844</v>
      </c>
      <c r="E85" s="155" t="s">
        <v>844</v>
      </c>
      <c r="F85" s="155" t="s">
        <v>778</v>
      </c>
    </row>
    <row r="86" spans="1:6" x14ac:dyDescent="0.3">
      <c r="A86" s="168">
        <v>76</v>
      </c>
      <c r="B86" s="155" t="s">
        <v>779</v>
      </c>
      <c r="C86" s="155" t="s">
        <v>844</v>
      </c>
      <c r="D86" s="155" t="s">
        <v>844</v>
      </c>
      <c r="E86" s="155" t="s">
        <v>844</v>
      </c>
      <c r="F86" s="155" t="s">
        <v>779</v>
      </c>
    </row>
    <row r="87" spans="1:6" x14ac:dyDescent="0.3">
      <c r="A87" s="168">
        <v>77</v>
      </c>
      <c r="B87" s="155" t="s">
        <v>780</v>
      </c>
      <c r="C87" s="155" t="s">
        <v>844</v>
      </c>
      <c r="D87" s="155" t="s">
        <v>844</v>
      </c>
      <c r="E87" s="155" t="s">
        <v>844</v>
      </c>
      <c r="F87" s="155" t="s">
        <v>780</v>
      </c>
    </row>
    <row r="88" spans="1:6" x14ac:dyDescent="0.3">
      <c r="A88" s="168">
        <v>78</v>
      </c>
      <c r="B88" s="155" t="s">
        <v>781</v>
      </c>
      <c r="C88" s="155" t="s">
        <v>844</v>
      </c>
      <c r="D88" s="155" t="s">
        <v>844</v>
      </c>
      <c r="E88" s="155" t="s">
        <v>844</v>
      </c>
      <c r="F88" s="155" t="s">
        <v>781</v>
      </c>
    </row>
    <row r="89" spans="1:6" x14ac:dyDescent="0.3">
      <c r="A89" s="168">
        <v>79</v>
      </c>
      <c r="B89" s="155" t="s">
        <v>782</v>
      </c>
      <c r="C89" s="155" t="s">
        <v>844</v>
      </c>
      <c r="D89" s="155" t="s">
        <v>844</v>
      </c>
      <c r="E89" s="155" t="s">
        <v>844</v>
      </c>
      <c r="F89" s="155" t="s">
        <v>782</v>
      </c>
    </row>
    <row r="90" spans="1:6" x14ac:dyDescent="0.3">
      <c r="A90" s="168">
        <v>80</v>
      </c>
      <c r="B90" s="155" t="s">
        <v>783</v>
      </c>
      <c r="C90" s="155" t="s">
        <v>844</v>
      </c>
      <c r="D90" s="155" t="s">
        <v>844</v>
      </c>
      <c r="E90" s="155" t="s">
        <v>844</v>
      </c>
      <c r="F90" s="155" t="s">
        <v>783</v>
      </c>
    </row>
    <row r="91" spans="1:6" x14ac:dyDescent="0.3">
      <c r="A91" s="168">
        <v>81</v>
      </c>
      <c r="B91" s="155" t="s">
        <v>784</v>
      </c>
      <c r="C91" s="155" t="s">
        <v>844</v>
      </c>
      <c r="D91" s="155" t="s">
        <v>844</v>
      </c>
      <c r="E91" s="155" t="s">
        <v>844</v>
      </c>
      <c r="F91" s="155" t="s">
        <v>784</v>
      </c>
    </row>
    <row r="92" spans="1:6" x14ac:dyDescent="0.3">
      <c r="A92" s="168">
        <v>82</v>
      </c>
      <c r="B92" s="155" t="s">
        <v>340</v>
      </c>
      <c r="C92" s="155">
        <v>27</v>
      </c>
      <c r="D92" s="155" t="s">
        <v>378</v>
      </c>
      <c r="E92" s="155" t="s">
        <v>340</v>
      </c>
      <c r="F92" s="155" t="s">
        <v>340</v>
      </c>
    </row>
    <row r="93" spans="1:6" x14ac:dyDescent="0.3">
      <c r="A93" s="168">
        <v>83</v>
      </c>
      <c r="B93" s="155" t="s">
        <v>341</v>
      </c>
      <c r="C93" s="155">
        <v>28</v>
      </c>
      <c r="D93" s="155" t="s">
        <v>379</v>
      </c>
      <c r="E93" s="155" t="s">
        <v>341</v>
      </c>
      <c r="F93" s="155" t="s">
        <v>341</v>
      </c>
    </row>
    <row r="94" spans="1:6" x14ac:dyDescent="0.3">
      <c r="A94" s="168">
        <v>84</v>
      </c>
      <c r="B94" s="155" t="s">
        <v>785</v>
      </c>
      <c r="C94" s="155" t="s">
        <v>844</v>
      </c>
      <c r="D94" s="155" t="s">
        <v>844</v>
      </c>
      <c r="E94" s="155" t="s">
        <v>844</v>
      </c>
      <c r="F94" s="155" t="s">
        <v>785</v>
      </c>
    </row>
    <row r="95" spans="1:6" x14ac:dyDescent="0.3">
      <c r="A95" s="168">
        <v>85</v>
      </c>
      <c r="B95" s="155" t="s">
        <v>786</v>
      </c>
      <c r="C95" s="155">
        <v>29</v>
      </c>
      <c r="D95" s="155" t="s">
        <v>380</v>
      </c>
      <c r="E95" s="155" t="s">
        <v>353</v>
      </c>
      <c r="F95" s="155" t="s">
        <v>786</v>
      </c>
    </row>
    <row r="96" spans="1:6" x14ac:dyDescent="0.3">
      <c r="A96" s="168">
        <v>86</v>
      </c>
      <c r="B96" s="155" t="s">
        <v>342</v>
      </c>
      <c r="C96" s="155">
        <v>31</v>
      </c>
      <c r="D96" s="155" t="s">
        <v>381</v>
      </c>
      <c r="E96" s="155" t="s">
        <v>342</v>
      </c>
      <c r="F96" s="155" t="s">
        <v>342</v>
      </c>
    </row>
    <row r="97" spans="1:6" x14ac:dyDescent="0.3">
      <c r="A97" s="168">
        <v>87</v>
      </c>
      <c r="B97" s="155" t="s">
        <v>787</v>
      </c>
      <c r="C97" s="155" t="s">
        <v>844</v>
      </c>
      <c r="D97" s="155" t="s">
        <v>844</v>
      </c>
      <c r="E97" s="155" t="s">
        <v>844</v>
      </c>
      <c r="F97" s="155" t="s">
        <v>787</v>
      </c>
    </row>
    <row r="98" spans="1:6" x14ac:dyDescent="0.3">
      <c r="A98" s="170">
        <v>88</v>
      </c>
      <c r="B98" s="158" t="s">
        <v>788</v>
      </c>
      <c r="C98" s="158">
        <v>37</v>
      </c>
      <c r="D98" s="158" t="s">
        <v>382</v>
      </c>
      <c r="E98" s="158" t="s">
        <v>354</v>
      </c>
      <c r="F98" s="157" t="s">
        <v>788</v>
      </c>
    </row>
    <row r="99" spans="1:6" x14ac:dyDescent="0.3">
      <c r="A99" s="168">
        <v>89</v>
      </c>
      <c r="B99" s="155" t="s">
        <v>789</v>
      </c>
      <c r="C99" s="155" t="s">
        <v>844</v>
      </c>
      <c r="D99" s="155" t="s">
        <v>844</v>
      </c>
      <c r="E99" s="155" t="s">
        <v>844</v>
      </c>
      <c r="F99" s="155" t="s">
        <v>789</v>
      </c>
    </row>
    <row r="100" spans="1:6" x14ac:dyDescent="0.3">
      <c r="A100" s="168">
        <v>90</v>
      </c>
      <c r="B100" s="155" t="s">
        <v>790</v>
      </c>
      <c r="C100" s="155" t="s">
        <v>844</v>
      </c>
      <c r="D100" s="155" t="s">
        <v>844</v>
      </c>
      <c r="E100" s="155" t="s">
        <v>844</v>
      </c>
      <c r="F100" s="155" t="s">
        <v>790</v>
      </c>
    </row>
    <row r="101" spans="1:6" x14ac:dyDescent="0.3">
      <c r="A101" s="168">
        <v>91</v>
      </c>
      <c r="B101" s="155" t="s">
        <v>791</v>
      </c>
      <c r="C101" s="155" t="s">
        <v>844</v>
      </c>
      <c r="D101" s="155" t="s">
        <v>844</v>
      </c>
      <c r="E101" s="155" t="s">
        <v>844</v>
      </c>
      <c r="F101" s="155" t="s">
        <v>791</v>
      </c>
    </row>
    <row r="102" spans="1:6" x14ac:dyDescent="0.3">
      <c r="A102" s="168">
        <v>92</v>
      </c>
      <c r="B102" s="155" t="s">
        <v>792</v>
      </c>
      <c r="C102" s="155" t="s">
        <v>844</v>
      </c>
      <c r="D102" s="155" t="s">
        <v>844</v>
      </c>
      <c r="E102" s="155" t="s">
        <v>844</v>
      </c>
      <c r="F102" s="155" t="s">
        <v>792</v>
      </c>
    </row>
    <row r="103" spans="1:6" x14ac:dyDescent="0.3">
      <c r="A103" s="168">
        <v>93</v>
      </c>
      <c r="B103" s="155" t="s">
        <v>793</v>
      </c>
      <c r="C103" s="155" t="s">
        <v>844</v>
      </c>
      <c r="D103" s="155" t="s">
        <v>844</v>
      </c>
      <c r="E103" s="155" t="s">
        <v>844</v>
      </c>
      <c r="F103" s="155" t="s">
        <v>793</v>
      </c>
    </row>
    <row r="104" spans="1:6" x14ac:dyDescent="0.3">
      <c r="A104" s="168">
        <v>94</v>
      </c>
      <c r="B104" s="155" t="s">
        <v>343</v>
      </c>
      <c r="C104" s="155">
        <v>33</v>
      </c>
      <c r="D104" s="155" t="s">
        <v>383</v>
      </c>
      <c r="E104" s="155" t="s">
        <v>343</v>
      </c>
      <c r="F104" s="155" t="s">
        <v>343</v>
      </c>
    </row>
    <row r="105" spans="1:6" x14ac:dyDescent="0.3">
      <c r="A105" s="168">
        <v>95</v>
      </c>
      <c r="B105" s="155" t="s">
        <v>794</v>
      </c>
      <c r="C105" s="155" t="s">
        <v>844</v>
      </c>
      <c r="D105" s="155" t="s">
        <v>844</v>
      </c>
      <c r="E105" s="155" t="s">
        <v>844</v>
      </c>
      <c r="F105" s="155" t="s">
        <v>794</v>
      </c>
    </row>
    <row r="106" spans="1:6" x14ac:dyDescent="0.3">
      <c r="A106" s="168">
        <v>96</v>
      </c>
      <c r="B106" s="155" t="s">
        <v>795</v>
      </c>
      <c r="C106" s="155" t="s">
        <v>844</v>
      </c>
      <c r="D106" s="155" t="s">
        <v>844</v>
      </c>
      <c r="E106" s="155" t="s">
        <v>844</v>
      </c>
      <c r="F106" s="155" t="s">
        <v>795</v>
      </c>
    </row>
    <row r="107" spans="1:6" x14ac:dyDescent="0.3">
      <c r="A107" s="168">
        <v>97</v>
      </c>
      <c r="B107" s="155" t="s">
        <v>344</v>
      </c>
      <c r="C107" s="155">
        <v>26</v>
      </c>
      <c r="D107" s="155" t="s">
        <v>384</v>
      </c>
      <c r="E107" s="155" t="s">
        <v>344</v>
      </c>
      <c r="F107" s="155" t="s">
        <v>344</v>
      </c>
    </row>
    <row r="108" spans="1:6" x14ac:dyDescent="0.3">
      <c r="A108" s="169">
        <v>98</v>
      </c>
      <c r="B108" s="156" t="s">
        <v>335</v>
      </c>
      <c r="C108" s="155">
        <v>18</v>
      </c>
      <c r="D108" s="155" t="s">
        <v>385</v>
      </c>
      <c r="E108" s="155" t="s">
        <v>335</v>
      </c>
      <c r="F108" s="157" t="s">
        <v>335</v>
      </c>
    </row>
    <row r="109" spans="1:6" x14ac:dyDescent="0.3">
      <c r="A109" s="171">
        <v>99</v>
      </c>
      <c r="B109" s="159" t="s">
        <v>345</v>
      </c>
      <c r="C109" s="155">
        <v>35</v>
      </c>
      <c r="D109" s="155" t="s">
        <v>386</v>
      </c>
      <c r="E109" s="155" t="s">
        <v>345</v>
      </c>
      <c r="F109" s="159" t="s">
        <v>345</v>
      </c>
    </row>
    <row r="110" spans="1:6" x14ac:dyDescent="0.3">
      <c r="A110" s="172"/>
      <c r="B110" s="160"/>
      <c r="C110" s="161">
        <v>12</v>
      </c>
      <c r="D110" s="154" t="s">
        <v>387</v>
      </c>
      <c r="E110" s="155" t="s">
        <v>346</v>
      </c>
      <c r="F110" s="161" t="s">
        <v>346</v>
      </c>
    </row>
    <row r="111" spans="1:6" x14ac:dyDescent="0.3">
      <c r="A111" s="173" t="s">
        <v>844</v>
      </c>
      <c r="B111" s="159" t="s">
        <v>844</v>
      </c>
      <c r="C111" s="161">
        <v>17</v>
      </c>
      <c r="D111" s="154" t="s">
        <v>388</v>
      </c>
      <c r="E111" s="155" t="s">
        <v>347</v>
      </c>
      <c r="F111" s="155" t="s">
        <v>347</v>
      </c>
    </row>
    <row r="112" spans="1:6" x14ac:dyDescent="0.3">
      <c r="A112" s="173" t="s">
        <v>844</v>
      </c>
      <c r="B112" s="159" t="s">
        <v>844</v>
      </c>
      <c r="C112" s="161">
        <v>24</v>
      </c>
      <c r="D112" s="154" t="s">
        <v>389</v>
      </c>
      <c r="E112" s="155" t="s">
        <v>348</v>
      </c>
      <c r="F112" s="155" t="s">
        <v>348</v>
      </c>
    </row>
    <row r="113" spans="1:6" x14ac:dyDescent="0.3">
      <c r="A113" s="173" t="s">
        <v>844</v>
      </c>
      <c r="B113" s="159" t="s">
        <v>844</v>
      </c>
      <c r="C113" s="161">
        <v>32</v>
      </c>
      <c r="D113" s="154" t="s">
        <v>390</v>
      </c>
      <c r="E113" s="155" t="s">
        <v>349</v>
      </c>
      <c r="F113" s="155" t="s">
        <v>349</v>
      </c>
    </row>
    <row r="114" spans="1:6" x14ac:dyDescent="0.3">
      <c r="A114" s="174" t="s">
        <v>844</v>
      </c>
      <c r="B114" s="155" t="s">
        <v>844</v>
      </c>
      <c r="C114" s="161">
        <v>36</v>
      </c>
      <c r="D114" s="154" t="s">
        <v>391</v>
      </c>
      <c r="E114" s="155" t="s">
        <v>350</v>
      </c>
      <c r="F114" s="155" t="s">
        <v>350</v>
      </c>
    </row>
    <row r="115" spans="1:6" x14ac:dyDescent="0.3">
      <c r="A115" s="162"/>
      <c r="B115" s="162"/>
      <c r="C115" s="162"/>
      <c r="D115" s="162"/>
      <c r="E115" s="162"/>
      <c r="F115" s="162"/>
    </row>
    <row r="116" spans="1:6" x14ac:dyDescent="0.3">
      <c r="A116" s="153"/>
      <c r="B116" s="153"/>
      <c r="C116" s="162"/>
      <c r="D116" s="162"/>
      <c r="E116" s="162"/>
      <c r="F116" s="162"/>
    </row>
    <row r="117" spans="1:6" x14ac:dyDescent="0.3">
      <c r="A117" s="153"/>
      <c r="B117" s="153"/>
      <c r="C117" s="162"/>
      <c r="D117" s="162"/>
      <c r="E117" s="162"/>
      <c r="F117" s="162"/>
    </row>
    <row r="118" spans="1:6" x14ac:dyDescent="0.3">
      <c r="A118" s="153"/>
      <c r="B118" s="153"/>
      <c r="C118" s="162"/>
      <c r="D118" s="162"/>
      <c r="E118" s="162"/>
      <c r="F118" s="162"/>
    </row>
  </sheetData>
  <mergeCells count="2">
    <mergeCell ref="A1:B1"/>
    <mergeCell ref="C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BD200-83D1-4759-845F-0DCCB57BEA68}">
  <dimension ref="A1:A82"/>
  <sheetViews>
    <sheetView topLeftCell="A76" workbookViewId="0"/>
  </sheetViews>
  <sheetFormatPr defaultRowHeight="14.4" x14ac:dyDescent="0.3"/>
  <cols>
    <col min="1" max="1" width="71.77734375" customWidth="1"/>
  </cols>
  <sheetData>
    <row r="1" spans="1:1" x14ac:dyDescent="0.3">
      <c r="A1" s="177" t="s">
        <v>322</v>
      </c>
    </row>
    <row r="2" spans="1:1" x14ac:dyDescent="0.3">
      <c r="A2" s="177" t="s">
        <v>725</v>
      </c>
    </row>
    <row r="3" spans="1:1" x14ac:dyDescent="0.3">
      <c r="A3" s="177" t="s">
        <v>726</v>
      </c>
    </row>
    <row r="4" spans="1:1" x14ac:dyDescent="0.3">
      <c r="A4" s="177" t="s">
        <v>727</v>
      </c>
    </row>
    <row r="5" spans="1:1" x14ac:dyDescent="0.3">
      <c r="A5" s="177" t="s">
        <v>328</v>
      </c>
    </row>
    <row r="6" spans="1:1" x14ac:dyDescent="0.3">
      <c r="A6" s="177" t="s">
        <v>329</v>
      </c>
    </row>
    <row r="7" spans="1:1" x14ac:dyDescent="0.3">
      <c r="A7" s="177" t="s">
        <v>728</v>
      </c>
    </row>
    <row r="8" spans="1:1" x14ac:dyDescent="0.3">
      <c r="A8" s="177" t="s">
        <v>729</v>
      </c>
    </row>
    <row r="9" spans="1:1" x14ac:dyDescent="0.3">
      <c r="A9" s="177" t="s">
        <v>330</v>
      </c>
    </row>
    <row r="10" spans="1:1" x14ac:dyDescent="0.3">
      <c r="A10" s="177" t="s">
        <v>730</v>
      </c>
    </row>
    <row r="11" spans="1:1" x14ac:dyDescent="0.3">
      <c r="A11" s="177" t="s">
        <v>731</v>
      </c>
    </row>
    <row r="12" spans="1:1" x14ac:dyDescent="0.3">
      <c r="A12" s="177" t="s">
        <v>732</v>
      </c>
    </row>
    <row r="13" spans="1:1" x14ac:dyDescent="0.3">
      <c r="A13" s="177" t="s">
        <v>733</v>
      </c>
    </row>
    <row r="14" spans="1:1" x14ac:dyDescent="0.3">
      <c r="A14" s="177" t="s">
        <v>734</v>
      </c>
    </row>
    <row r="15" spans="1:1" x14ac:dyDescent="0.3">
      <c r="A15" s="177" t="s">
        <v>331</v>
      </c>
    </row>
    <row r="16" spans="1:1" x14ac:dyDescent="0.3">
      <c r="A16" s="177" t="s">
        <v>332</v>
      </c>
    </row>
    <row r="17" spans="1:1" x14ac:dyDescent="0.3">
      <c r="A17" s="177" t="s">
        <v>735</v>
      </c>
    </row>
    <row r="18" spans="1:1" x14ac:dyDescent="0.3">
      <c r="A18" s="177" t="s">
        <v>736</v>
      </c>
    </row>
    <row r="19" spans="1:1" x14ac:dyDescent="0.3">
      <c r="A19" s="177" t="s">
        <v>737</v>
      </c>
    </row>
    <row r="20" spans="1:1" x14ac:dyDescent="0.3">
      <c r="A20" s="177" t="s">
        <v>738</v>
      </c>
    </row>
    <row r="21" spans="1:1" x14ac:dyDescent="0.3">
      <c r="A21" s="177" t="s">
        <v>739</v>
      </c>
    </row>
    <row r="22" spans="1:1" x14ac:dyDescent="0.3">
      <c r="A22" s="177" t="s">
        <v>740</v>
      </c>
    </row>
    <row r="23" spans="1:1" x14ac:dyDescent="0.3">
      <c r="A23" s="177" t="s">
        <v>741</v>
      </c>
    </row>
    <row r="24" spans="1:1" x14ac:dyDescent="0.3">
      <c r="A24" s="177" t="s">
        <v>742</v>
      </c>
    </row>
    <row r="25" spans="1:1" x14ac:dyDescent="0.3">
      <c r="A25" s="177" t="s">
        <v>743</v>
      </c>
    </row>
    <row r="26" spans="1:1" x14ac:dyDescent="0.3">
      <c r="A26" s="177" t="s">
        <v>744</v>
      </c>
    </row>
    <row r="27" spans="1:1" x14ac:dyDescent="0.3">
      <c r="A27" s="177" t="s">
        <v>746</v>
      </c>
    </row>
    <row r="28" spans="1:1" x14ac:dyDescent="0.3">
      <c r="A28" s="177" t="s">
        <v>747</v>
      </c>
    </row>
    <row r="29" spans="1:1" x14ac:dyDescent="0.3">
      <c r="A29" s="177" t="s">
        <v>748</v>
      </c>
    </row>
    <row r="30" spans="1:1" x14ac:dyDescent="0.3">
      <c r="A30" s="177" t="s">
        <v>749</v>
      </c>
    </row>
    <row r="31" spans="1:1" x14ac:dyDescent="0.3">
      <c r="A31" s="177" t="s">
        <v>750</v>
      </c>
    </row>
    <row r="32" spans="1:1" x14ac:dyDescent="0.3">
      <c r="A32" s="177" t="s">
        <v>751</v>
      </c>
    </row>
    <row r="33" spans="1:1" x14ac:dyDescent="0.3">
      <c r="A33" s="177" t="s">
        <v>752</v>
      </c>
    </row>
    <row r="34" spans="1:1" x14ac:dyDescent="0.3">
      <c r="A34" s="177" t="s">
        <v>753</v>
      </c>
    </row>
    <row r="35" spans="1:1" x14ac:dyDescent="0.3">
      <c r="A35" s="177" t="s">
        <v>754</v>
      </c>
    </row>
    <row r="36" spans="1:1" x14ac:dyDescent="0.3">
      <c r="A36" s="177" t="s">
        <v>755</v>
      </c>
    </row>
    <row r="37" spans="1:1" x14ac:dyDescent="0.3">
      <c r="A37" s="177" t="s">
        <v>756</v>
      </c>
    </row>
    <row r="38" spans="1:1" x14ac:dyDescent="0.3">
      <c r="A38" s="177" t="s">
        <v>757</v>
      </c>
    </row>
    <row r="39" spans="1:1" x14ac:dyDescent="0.3">
      <c r="A39" s="177" t="s">
        <v>758</v>
      </c>
    </row>
    <row r="40" spans="1:1" x14ac:dyDescent="0.3">
      <c r="A40" s="177" t="s">
        <v>333</v>
      </c>
    </row>
    <row r="41" spans="1:1" x14ac:dyDescent="0.3">
      <c r="A41" s="177" t="s">
        <v>759</v>
      </c>
    </row>
    <row r="42" spans="1:1" x14ac:dyDescent="0.3">
      <c r="A42" s="177" t="s">
        <v>760</v>
      </c>
    </row>
    <row r="43" spans="1:1" x14ac:dyDescent="0.3">
      <c r="A43" s="177" t="s">
        <v>761</v>
      </c>
    </row>
    <row r="44" spans="1:1" x14ac:dyDescent="0.3">
      <c r="A44" s="177" t="s">
        <v>762</v>
      </c>
    </row>
    <row r="45" spans="1:1" x14ac:dyDescent="0.3">
      <c r="A45" s="177" t="s">
        <v>763</v>
      </c>
    </row>
    <row r="46" spans="1:1" x14ac:dyDescent="0.3">
      <c r="A46" s="177" t="s">
        <v>764</v>
      </c>
    </row>
    <row r="47" spans="1:1" x14ac:dyDescent="0.3">
      <c r="A47" s="177" t="s">
        <v>765</v>
      </c>
    </row>
    <row r="48" spans="1:1" x14ac:dyDescent="0.3">
      <c r="A48" s="177" t="s">
        <v>766</v>
      </c>
    </row>
    <row r="49" spans="1:1" x14ac:dyDescent="0.3">
      <c r="A49" s="177" t="s">
        <v>334</v>
      </c>
    </row>
    <row r="50" spans="1:1" x14ac:dyDescent="0.3">
      <c r="A50" s="177" t="s">
        <v>767</v>
      </c>
    </row>
    <row r="51" spans="1:1" x14ac:dyDescent="0.3">
      <c r="A51" s="177" t="s">
        <v>768</v>
      </c>
    </row>
    <row r="52" spans="1:1" x14ac:dyDescent="0.3">
      <c r="A52" s="177" t="s">
        <v>769</v>
      </c>
    </row>
    <row r="53" spans="1:1" x14ac:dyDescent="0.3">
      <c r="A53" s="177" t="s">
        <v>770</v>
      </c>
    </row>
    <row r="54" spans="1:1" x14ac:dyDescent="0.3">
      <c r="A54" s="177" t="s">
        <v>771</v>
      </c>
    </row>
    <row r="55" spans="1:1" x14ac:dyDescent="0.3">
      <c r="A55" s="177" t="s">
        <v>772</v>
      </c>
    </row>
    <row r="56" spans="1:1" x14ac:dyDescent="0.3">
      <c r="A56" s="177" t="s">
        <v>773</v>
      </c>
    </row>
    <row r="57" spans="1:1" x14ac:dyDescent="0.3">
      <c r="A57" s="177" t="s">
        <v>336</v>
      </c>
    </row>
    <row r="58" spans="1:1" x14ac:dyDescent="0.3">
      <c r="A58" s="177" t="s">
        <v>774</v>
      </c>
    </row>
    <row r="59" spans="1:1" x14ac:dyDescent="0.3">
      <c r="A59" s="177" t="s">
        <v>775</v>
      </c>
    </row>
    <row r="60" spans="1:1" x14ac:dyDescent="0.3">
      <c r="A60" s="177" t="s">
        <v>776</v>
      </c>
    </row>
    <row r="61" spans="1:1" x14ac:dyDescent="0.3">
      <c r="A61" s="177" t="s">
        <v>337</v>
      </c>
    </row>
    <row r="62" spans="1:1" x14ac:dyDescent="0.3">
      <c r="A62" s="177" t="s">
        <v>338</v>
      </c>
    </row>
    <row r="63" spans="1:1" x14ac:dyDescent="0.3">
      <c r="A63" s="177" t="s">
        <v>339</v>
      </c>
    </row>
    <row r="64" spans="1:1" x14ac:dyDescent="0.3">
      <c r="A64" s="177" t="s">
        <v>777</v>
      </c>
    </row>
    <row r="65" spans="1:1" x14ac:dyDescent="0.3">
      <c r="A65" s="177" t="s">
        <v>778</v>
      </c>
    </row>
    <row r="66" spans="1:1" x14ac:dyDescent="0.3">
      <c r="A66" s="177" t="s">
        <v>779</v>
      </c>
    </row>
    <row r="67" spans="1:1" x14ac:dyDescent="0.3">
      <c r="A67" s="177" t="s">
        <v>780</v>
      </c>
    </row>
    <row r="68" spans="1:1" x14ac:dyDescent="0.3">
      <c r="A68" s="177" t="s">
        <v>781</v>
      </c>
    </row>
    <row r="69" spans="1:1" x14ac:dyDescent="0.3">
      <c r="A69" s="177" t="s">
        <v>782</v>
      </c>
    </row>
    <row r="70" spans="1:1" x14ac:dyDescent="0.3">
      <c r="A70" s="177" t="s">
        <v>783</v>
      </c>
    </row>
    <row r="71" spans="1:1" x14ac:dyDescent="0.3">
      <c r="A71" s="177" t="s">
        <v>784</v>
      </c>
    </row>
    <row r="72" spans="1:1" x14ac:dyDescent="0.3">
      <c r="A72" s="177" t="s">
        <v>327</v>
      </c>
    </row>
    <row r="73" spans="1:1" x14ac:dyDescent="0.3">
      <c r="A73" s="177" t="s">
        <v>314</v>
      </c>
    </row>
    <row r="74" spans="1:1" x14ac:dyDescent="0.3">
      <c r="A74" s="177" t="s">
        <v>315</v>
      </c>
    </row>
    <row r="75" spans="1:1" x14ac:dyDescent="0.3">
      <c r="A75" s="177" t="s">
        <v>316</v>
      </c>
    </row>
    <row r="76" spans="1:1" x14ac:dyDescent="0.3">
      <c r="A76" s="177" t="s">
        <v>498</v>
      </c>
    </row>
    <row r="77" spans="1:1" x14ac:dyDescent="0.3">
      <c r="A77" s="177" t="s">
        <v>499</v>
      </c>
    </row>
    <row r="78" spans="1:1" x14ac:dyDescent="0.3">
      <c r="A78" s="177" t="s">
        <v>500</v>
      </c>
    </row>
    <row r="79" spans="1:1" x14ac:dyDescent="0.3">
      <c r="A79" s="177" t="s">
        <v>318</v>
      </c>
    </row>
    <row r="80" spans="1:1" x14ac:dyDescent="0.3">
      <c r="A80" s="177" t="s">
        <v>319</v>
      </c>
    </row>
    <row r="81" spans="1:1" x14ac:dyDescent="0.3">
      <c r="A81" s="177" t="s">
        <v>320</v>
      </c>
    </row>
    <row r="82" spans="1:1" x14ac:dyDescent="0.3">
      <c r="A82" s="177" t="s">
        <v>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6ECE-39C0-4B76-8067-CC1A05761090}">
  <dimension ref="A1:Q109"/>
  <sheetViews>
    <sheetView zoomScale="70" zoomScaleNormal="70" workbookViewId="0">
      <pane xSplit="9" ySplit="2" topLeftCell="J30" activePane="bottomRight" state="frozen"/>
      <selection activeCell="B7" sqref="B7"/>
      <selection pane="topRight" activeCell="B7" sqref="B7"/>
      <selection pane="bottomLeft" activeCell="B7" sqref="B7"/>
      <selection pane="bottomRight" activeCell="G27" sqref="G27"/>
    </sheetView>
  </sheetViews>
  <sheetFormatPr defaultRowHeight="14.4" x14ac:dyDescent="0.3"/>
  <cols>
    <col min="1" max="1" width="12.6640625" style="14" bestFit="1" customWidth="1"/>
    <col min="2" max="3" width="25.109375" style="14" customWidth="1"/>
    <col min="4" max="4" width="49.88671875" style="14" customWidth="1"/>
    <col min="5" max="5" width="25.109375" style="14" customWidth="1"/>
    <col min="6" max="6" width="59.88671875" style="14" hidden="1" customWidth="1"/>
    <col min="7" max="7" width="58.109375" style="14" customWidth="1"/>
    <col min="8" max="8" width="29.44140625" style="14" customWidth="1"/>
    <col min="9" max="9" width="17" customWidth="1"/>
    <col min="10" max="10" width="39.109375" customWidth="1"/>
    <col min="11" max="11" width="53.5546875" style="81" customWidth="1"/>
    <col min="12" max="12" width="17.109375" customWidth="1"/>
    <col min="13" max="13" width="13.44140625" customWidth="1"/>
    <col min="14" max="14" width="26.5546875" customWidth="1"/>
    <col min="15" max="15" width="14.44140625" customWidth="1"/>
    <col min="16" max="16" width="11.109375" customWidth="1"/>
    <col min="17" max="17" width="36.88671875" customWidth="1"/>
  </cols>
  <sheetData>
    <row r="1" spans="1:17" s="30" customFormat="1" ht="59.4" customHeight="1" thickBot="1" x14ac:dyDescent="0.35">
      <c r="A1" s="239" t="s">
        <v>85</v>
      </c>
      <c r="B1" s="31" t="s">
        <v>83</v>
      </c>
      <c r="C1" s="31" t="s">
        <v>98</v>
      </c>
      <c r="D1" s="31" t="s">
        <v>393</v>
      </c>
      <c r="E1" s="31" t="s">
        <v>86</v>
      </c>
      <c r="F1" s="239" t="s">
        <v>0</v>
      </c>
      <c r="G1" s="241" t="s">
        <v>1</v>
      </c>
      <c r="H1" s="31" t="s">
        <v>87</v>
      </c>
      <c r="I1" s="243" t="s">
        <v>84</v>
      </c>
      <c r="J1" s="245" t="s">
        <v>2</v>
      </c>
      <c r="K1" s="235" t="s">
        <v>3</v>
      </c>
      <c r="L1" s="237" t="s">
        <v>4</v>
      </c>
      <c r="M1" s="233" t="s">
        <v>5</v>
      </c>
      <c r="N1" s="233" t="s">
        <v>6</v>
      </c>
      <c r="O1" s="233" t="s">
        <v>7</v>
      </c>
      <c r="P1" s="233" t="s">
        <v>8</v>
      </c>
      <c r="Q1" s="233" t="s">
        <v>9</v>
      </c>
    </row>
    <row r="2" spans="1:17" ht="14.4" hidden="1" customHeight="1" thickBot="1" x14ac:dyDescent="0.35">
      <c r="A2" s="240"/>
      <c r="B2" s="33"/>
      <c r="C2" s="58"/>
      <c r="D2" s="58"/>
      <c r="E2" s="58"/>
      <c r="F2" s="240"/>
      <c r="G2" s="242"/>
      <c r="H2" s="33"/>
      <c r="I2" s="244"/>
      <c r="J2" s="246"/>
      <c r="K2" s="236"/>
      <c r="L2" s="238"/>
      <c r="M2" s="234"/>
      <c r="N2" s="234"/>
      <c r="O2" s="234"/>
      <c r="P2" s="234"/>
      <c r="Q2" s="234"/>
    </row>
    <row r="3" spans="1:17" s="1" customFormat="1" ht="115.2" x14ac:dyDescent="0.3">
      <c r="A3" s="34"/>
      <c r="B3" s="32" t="s">
        <v>700</v>
      </c>
      <c r="C3" s="132" t="s">
        <v>20</v>
      </c>
      <c r="D3" s="136" t="s">
        <v>314</v>
      </c>
      <c r="E3" s="134" t="s">
        <v>69</v>
      </c>
      <c r="F3" s="36" t="s">
        <v>100</v>
      </c>
      <c r="G3" s="37" t="s">
        <v>100</v>
      </c>
      <c r="H3" s="38" t="s">
        <v>207</v>
      </c>
      <c r="I3" s="35"/>
      <c r="J3" s="86" t="s">
        <v>501</v>
      </c>
      <c r="K3" s="79" t="s">
        <v>394</v>
      </c>
      <c r="L3" s="39"/>
      <c r="M3" s="40"/>
      <c r="N3" s="40" t="s">
        <v>10</v>
      </c>
      <c r="O3" s="41"/>
      <c r="P3" s="42"/>
      <c r="Q3" s="42"/>
    </row>
    <row r="4" spans="1:17" s="1" customFormat="1" ht="76.349999999999994" customHeight="1" x14ac:dyDescent="0.3">
      <c r="A4" s="34"/>
      <c r="B4" s="32" t="s">
        <v>700</v>
      </c>
      <c r="C4" s="132" t="s">
        <v>20</v>
      </c>
      <c r="D4" s="136" t="s">
        <v>315</v>
      </c>
      <c r="E4" s="134" t="s">
        <v>69</v>
      </c>
      <c r="F4" s="36" t="s">
        <v>101</v>
      </c>
      <c r="G4" s="37" t="s">
        <v>101</v>
      </c>
      <c r="H4" s="38" t="s">
        <v>208</v>
      </c>
      <c r="I4" s="35"/>
      <c r="J4" s="86" t="s">
        <v>502</v>
      </c>
      <c r="K4" s="79" t="s">
        <v>395</v>
      </c>
      <c r="L4" s="39"/>
      <c r="M4" s="39"/>
      <c r="N4" s="40" t="s">
        <v>10</v>
      </c>
      <c r="O4" s="39"/>
      <c r="P4" s="39"/>
      <c r="Q4" s="42"/>
    </row>
    <row r="5" spans="1:17" s="1" customFormat="1" ht="115.2" x14ac:dyDescent="0.3">
      <c r="A5" s="34"/>
      <c r="B5" s="32" t="s">
        <v>700</v>
      </c>
      <c r="C5" s="132" t="s">
        <v>20</v>
      </c>
      <c r="D5" s="136" t="s">
        <v>316</v>
      </c>
      <c r="E5" s="134" t="s">
        <v>69</v>
      </c>
      <c r="F5" s="36" t="s">
        <v>102</v>
      </c>
      <c r="G5" s="37" t="s">
        <v>102</v>
      </c>
      <c r="H5" s="38" t="s">
        <v>209</v>
      </c>
      <c r="I5" s="35"/>
      <c r="J5" s="86" t="s">
        <v>503</v>
      </c>
      <c r="K5" s="79" t="s">
        <v>396</v>
      </c>
      <c r="L5" s="39"/>
      <c r="M5" s="39"/>
      <c r="N5" s="40" t="s">
        <v>10</v>
      </c>
      <c r="O5" s="39"/>
      <c r="P5" s="39"/>
      <c r="Q5" s="42"/>
    </row>
    <row r="6" spans="1:17" s="1" customFormat="1" ht="57" customHeight="1" x14ac:dyDescent="0.3">
      <c r="A6" s="34"/>
      <c r="B6" s="32" t="s">
        <v>700</v>
      </c>
      <c r="C6" s="132" t="s">
        <v>20</v>
      </c>
      <c r="D6" s="137" t="s">
        <v>498</v>
      </c>
      <c r="E6" s="134" t="s">
        <v>709</v>
      </c>
      <c r="F6" s="36" t="s">
        <v>107</v>
      </c>
      <c r="G6" s="37" t="s">
        <v>107</v>
      </c>
      <c r="H6" s="38" t="s">
        <v>210</v>
      </c>
      <c r="I6" s="35"/>
      <c r="J6" s="86" t="s">
        <v>504</v>
      </c>
      <c r="K6" s="80" t="s">
        <v>397</v>
      </c>
      <c r="L6" s="39"/>
      <c r="M6" s="39"/>
      <c r="N6" s="40" t="s">
        <v>10</v>
      </c>
      <c r="O6" s="39"/>
      <c r="P6" s="39"/>
      <c r="Q6" s="42"/>
    </row>
    <row r="7" spans="1:17" s="1" customFormat="1" ht="71.25" customHeight="1" x14ac:dyDescent="0.3">
      <c r="A7" s="34"/>
      <c r="B7" s="32" t="s">
        <v>700</v>
      </c>
      <c r="C7" s="132" t="s">
        <v>20</v>
      </c>
      <c r="D7" s="138" t="s">
        <v>499</v>
      </c>
      <c r="E7" s="134" t="s">
        <v>709</v>
      </c>
      <c r="F7" s="36" t="s">
        <v>103</v>
      </c>
      <c r="G7" s="37" t="s">
        <v>103</v>
      </c>
      <c r="H7" s="38" t="s">
        <v>211</v>
      </c>
      <c r="I7" s="43"/>
      <c r="J7" s="86" t="s">
        <v>505</v>
      </c>
      <c r="K7" s="80" t="s">
        <v>398</v>
      </c>
      <c r="L7" s="39"/>
      <c r="M7" s="39"/>
      <c r="N7" s="40" t="s">
        <v>10</v>
      </c>
      <c r="O7" s="39"/>
      <c r="P7" s="39"/>
      <c r="Q7" s="42"/>
    </row>
    <row r="8" spans="1:17" s="1" customFormat="1" ht="129.6" x14ac:dyDescent="0.3">
      <c r="A8" s="34"/>
      <c r="B8" s="32" t="s">
        <v>700</v>
      </c>
      <c r="C8" s="132" t="s">
        <v>20</v>
      </c>
      <c r="D8" s="138" t="s">
        <v>500</v>
      </c>
      <c r="E8" s="134" t="s">
        <v>709</v>
      </c>
      <c r="F8" s="36" t="s">
        <v>108</v>
      </c>
      <c r="G8" s="37" t="s">
        <v>108</v>
      </c>
      <c r="H8" s="38" t="s">
        <v>212</v>
      </c>
      <c r="I8" s="43"/>
      <c r="J8" s="86" t="s">
        <v>506</v>
      </c>
      <c r="K8" s="80" t="s">
        <v>398</v>
      </c>
      <c r="L8" s="39"/>
      <c r="M8" s="39"/>
      <c r="N8" s="40" t="s">
        <v>10</v>
      </c>
      <c r="O8" s="39"/>
      <c r="P8" s="39"/>
      <c r="Q8" s="42"/>
    </row>
    <row r="9" spans="1:17" s="1" customFormat="1" ht="46.35" customHeight="1" x14ac:dyDescent="0.3">
      <c r="A9" s="34"/>
      <c r="B9" s="32" t="s">
        <v>700</v>
      </c>
      <c r="C9" s="132" t="s">
        <v>20</v>
      </c>
      <c r="D9" s="136" t="s">
        <v>318</v>
      </c>
      <c r="E9" s="134" t="s">
        <v>709</v>
      </c>
      <c r="F9" s="36" t="s">
        <v>104</v>
      </c>
      <c r="G9" s="37" t="s">
        <v>104</v>
      </c>
      <c r="H9" s="38" t="s">
        <v>213</v>
      </c>
      <c r="I9" s="43"/>
      <c r="J9" s="86" t="s">
        <v>507</v>
      </c>
      <c r="K9" s="79" t="s">
        <v>399</v>
      </c>
      <c r="L9" s="39"/>
      <c r="M9" s="39"/>
      <c r="N9" s="40" t="s">
        <v>10</v>
      </c>
      <c r="O9" s="39"/>
      <c r="P9" s="39"/>
      <c r="Q9" s="42"/>
    </row>
    <row r="10" spans="1:17" ht="115.2" x14ac:dyDescent="0.3">
      <c r="A10" s="59"/>
      <c r="B10" s="32" t="s">
        <v>700</v>
      </c>
      <c r="C10" s="132" t="s">
        <v>20</v>
      </c>
      <c r="D10" s="136" t="s">
        <v>319</v>
      </c>
      <c r="E10" s="134" t="s">
        <v>709</v>
      </c>
      <c r="F10" s="67" t="s">
        <v>105</v>
      </c>
      <c r="G10" s="37" t="s">
        <v>105</v>
      </c>
      <c r="H10" s="76" t="s">
        <v>214</v>
      </c>
      <c r="I10" s="61"/>
      <c r="J10" s="86" t="s">
        <v>508</v>
      </c>
      <c r="K10" s="79" t="s">
        <v>400</v>
      </c>
      <c r="L10" s="62"/>
      <c r="M10" s="62"/>
      <c r="N10" s="63" t="s">
        <v>10</v>
      </c>
      <c r="O10" s="62"/>
      <c r="P10" s="62"/>
      <c r="Q10" s="64"/>
    </row>
    <row r="11" spans="1:17" ht="115.2" x14ac:dyDescent="0.3">
      <c r="A11" s="65"/>
      <c r="B11" s="32" t="s">
        <v>700</v>
      </c>
      <c r="C11" s="132" t="s">
        <v>20</v>
      </c>
      <c r="D11" s="136" t="s">
        <v>320</v>
      </c>
      <c r="E11" s="134" t="s">
        <v>709</v>
      </c>
      <c r="F11" s="68" t="s">
        <v>106</v>
      </c>
      <c r="G11" s="37" t="s">
        <v>106</v>
      </c>
      <c r="H11" s="77" t="s">
        <v>215</v>
      </c>
      <c r="I11" s="46"/>
      <c r="J11" s="86" t="s">
        <v>509</v>
      </c>
      <c r="K11" s="79" t="s">
        <v>401</v>
      </c>
      <c r="L11" s="46"/>
      <c r="M11" s="46"/>
      <c r="N11" s="46"/>
      <c r="O11" s="46"/>
      <c r="P11" s="46"/>
      <c r="Q11" s="46"/>
    </row>
    <row r="12" spans="1:17" ht="129.6" x14ac:dyDescent="0.3">
      <c r="A12" s="65"/>
      <c r="B12" s="32" t="s">
        <v>700</v>
      </c>
      <c r="C12" s="132" t="s">
        <v>20</v>
      </c>
      <c r="D12" s="136" t="s">
        <v>321</v>
      </c>
      <c r="E12" s="134" t="s">
        <v>709</v>
      </c>
      <c r="F12" s="68" t="s">
        <v>109</v>
      </c>
      <c r="G12" s="37" t="s">
        <v>109</v>
      </c>
      <c r="H12" s="77" t="s">
        <v>216</v>
      </c>
      <c r="I12" s="46"/>
      <c r="J12" s="86" t="s">
        <v>510</v>
      </c>
      <c r="K12" s="79" t="s">
        <v>402</v>
      </c>
      <c r="L12" s="46"/>
      <c r="M12" s="46"/>
      <c r="N12" s="46"/>
      <c r="O12" s="46"/>
      <c r="P12" s="46"/>
      <c r="Q12" s="46"/>
    </row>
    <row r="13" spans="1:17" ht="115.2" x14ac:dyDescent="0.3">
      <c r="A13" s="65"/>
      <c r="B13" s="32" t="s">
        <v>700</v>
      </c>
      <c r="C13" s="132" t="s">
        <v>20</v>
      </c>
      <c r="D13" s="136" t="s">
        <v>322</v>
      </c>
      <c r="E13" s="134" t="s">
        <v>709</v>
      </c>
      <c r="F13" s="68" t="s">
        <v>110</v>
      </c>
      <c r="G13" s="37" t="s">
        <v>110</v>
      </c>
      <c r="H13" s="77" t="s">
        <v>217</v>
      </c>
      <c r="I13" s="46"/>
      <c r="J13" s="86" t="s">
        <v>511</v>
      </c>
      <c r="K13" s="79" t="s">
        <v>403</v>
      </c>
      <c r="L13" s="46"/>
      <c r="M13" s="46"/>
      <c r="N13" s="46"/>
      <c r="O13" s="46"/>
      <c r="P13" s="46"/>
      <c r="Q13" s="46"/>
    </row>
    <row r="14" spans="1:17" ht="115.2" x14ac:dyDescent="0.3">
      <c r="A14" s="65"/>
      <c r="B14" s="32" t="s">
        <v>700</v>
      </c>
      <c r="C14" s="132" t="s">
        <v>20</v>
      </c>
      <c r="D14" s="138" t="s">
        <v>323</v>
      </c>
      <c r="E14" s="134" t="s">
        <v>709</v>
      </c>
      <c r="F14" s="68" t="s">
        <v>111</v>
      </c>
      <c r="G14" s="37" t="s">
        <v>111</v>
      </c>
      <c r="H14" s="77" t="s">
        <v>218</v>
      </c>
      <c r="I14" s="46"/>
      <c r="J14" s="86" t="s">
        <v>512</v>
      </c>
      <c r="K14" s="80" t="s">
        <v>404</v>
      </c>
      <c r="L14" s="46"/>
      <c r="M14" s="46"/>
      <c r="N14" s="46"/>
      <c r="O14" s="46"/>
      <c r="P14" s="46"/>
      <c r="Q14" s="46"/>
    </row>
    <row r="15" spans="1:17" ht="129.6" x14ac:dyDescent="0.3">
      <c r="A15" s="65"/>
      <c r="B15" s="32" t="s">
        <v>700</v>
      </c>
      <c r="C15" s="132" t="s">
        <v>20</v>
      </c>
      <c r="D15" s="138" t="s">
        <v>724</v>
      </c>
      <c r="E15" s="134" t="s">
        <v>709</v>
      </c>
      <c r="F15" s="68" t="s">
        <v>112</v>
      </c>
      <c r="G15" s="37" t="s">
        <v>112</v>
      </c>
      <c r="H15" s="77" t="s">
        <v>219</v>
      </c>
      <c r="I15" s="46"/>
      <c r="J15" s="86" t="s">
        <v>513</v>
      </c>
      <c r="K15" s="80" t="s">
        <v>405</v>
      </c>
      <c r="L15" s="46"/>
      <c r="M15" s="46"/>
      <c r="N15" s="46"/>
      <c r="O15" s="46"/>
      <c r="P15" s="46"/>
      <c r="Q15" s="46"/>
    </row>
    <row r="16" spans="1:17" ht="129.6" x14ac:dyDescent="0.3">
      <c r="A16" s="65"/>
      <c r="B16" s="32" t="s">
        <v>700</v>
      </c>
      <c r="C16" s="132" t="s">
        <v>20</v>
      </c>
      <c r="D16" s="138" t="s">
        <v>324</v>
      </c>
      <c r="E16" s="134" t="s">
        <v>709</v>
      </c>
      <c r="F16" s="68" t="s">
        <v>113</v>
      </c>
      <c r="G16" s="37" t="s">
        <v>113</v>
      </c>
      <c r="H16" s="77" t="s">
        <v>220</v>
      </c>
      <c r="I16" s="46"/>
      <c r="J16" s="86" t="s">
        <v>514</v>
      </c>
      <c r="K16" s="80" t="s">
        <v>406</v>
      </c>
      <c r="L16" s="46"/>
      <c r="M16" s="46"/>
      <c r="N16" s="46"/>
      <c r="O16" s="46"/>
      <c r="P16" s="46"/>
      <c r="Q16" s="46"/>
    </row>
    <row r="17" spans="1:17" ht="129.6" x14ac:dyDescent="0.3">
      <c r="A17" s="65"/>
      <c r="B17" s="32" t="s">
        <v>700</v>
      </c>
      <c r="C17" s="132" t="s">
        <v>20</v>
      </c>
      <c r="D17" s="136" t="s">
        <v>325</v>
      </c>
      <c r="E17" s="140" t="s">
        <v>712</v>
      </c>
      <c r="F17" s="68" t="s">
        <v>114</v>
      </c>
      <c r="G17" s="37" t="s">
        <v>114</v>
      </c>
      <c r="H17" s="77" t="s">
        <v>221</v>
      </c>
      <c r="I17" s="46"/>
      <c r="J17" s="86" t="s">
        <v>515</v>
      </c>
      <c r="K17" s="79" t="s">
        <v>407</v>
      </c>
      <c r="L17" s="46"/>
      <c r="M17" s="46"/>
      <c r="N17" s="46"/>
      <c r="O17" s="46"/>
      <c r="P17" s="46"/>
      <c r="Q17" s="46"/>
    </row>
    <row r="18" spans="1:17" ht="129.6" x14ac:dyDescent="0.3">
      <c r="A18" s="65"/>
      <c r="B18" s="32" t="s">
        <v>700</v>
      </c>
      <c r="C18" s="132" t="s">
        <v>20</v>
      </c>
      <c r="D18" s="136" t="s">
        <v>326</v>
      </c>
      <c r="E18" s="140" t="s">
        <v>712</v>
      </c>
      <c r="F18" s="68" t="s">
        <v>115</v>
      </c>
      <c r="G18" s="37" t="s">
        <v>115</v>
      </c>
      <c r="H18" s="77" t="s">
        <v>222</v>
      </c>
      <c r="I18" s="46"/>
      <c r="J18" s="86" t="s">
        <v>516</v>
      </c>
      <c r="K18" s="79" t="s">
        <v>408</v>
      </c>
      <c r="L18" s="46"/>
      <c r="M18" s="46"/>
      <c r="N18" s="46"/>
      <c r="O18" s="46"/>
      <c r="P18" s="46"/>
      <c r="Q18" s="46"/>
    </row>
    <row r="19" spans="1:17" ht="129.6" x14ac:dyDescent="0.3">
      <c r="A19" s="65"/>
      <c r="B19" s="32" t="s">
        <v>700</v>
      </c>
      <c r="C19" s="132" t="s">
        <v>20</v>
      </c>
      <c r="D19" s="138" t="s">
        <v>317</v>
      </c>
      <c r="E19" s="140" t="s">
        <v>712</v>
      </c>
      <c r="F19" s="68" t="s">
        <v>116</v>
      </c>
      <c r="G19" s="37" t="s">
        <v>116</v>
      </c>
      <c r="H19" s="77" t="s">
        <v>223</v>
      </c>
      <c r="I19" s="46"/>
      <c r="J19" s="86" t="s">
        <v>517</v>
      </c>
      <c r="K19" s="79" t="s">
        <v>409</v>
      </c>
      <c r="L19" s="46"/>
      <c r="M19" s="46"/>
      <c r="N19" s="46"/>
      <c r="O19" s="46"/>
      <c r="P19" s="46"/>
      <c r="Q19" s="46"/>
    </row>
    <row r="20" spans="1:17" ht="115.2" x14ac:dyDescent="0.3">
      <c r="A20" s="65"/>
      <c r="B20" s="32" t="s">
        <v>700</v>
      </c>
      <c r="C20" s="132" t="s">
        <v>20</v>
      </c>
      <c r="D20" s="136" t="s">
        <v>327</v>
      </c>
      <c r="E20" s="140" t="s">
        <v>712</v>
      </c>
      <c r="F20" s="68" t="s">
        <v>117</v>
      </c>
      <c r="G20" s="37" t="s">
        <v>117</v>
      </c>
      <c r="H20" s="77" t="s">
        <v>224</v>
      </c>
      <c r="I20" s="46"/>
      <c r="J20" s="86" t="s">
        <v>518</v>
      </c>
      <c r="K20" s="79" t="s">
        <v>410</v>
      </c>
      <c r="L20" s="46"/>
      <c r="M20" s="46"/>
      <c r="N20" s="46"/>
      <c r="O20" s="46"/>
      <c r="P20" s="46"/>
      <c r="Q20" s="46"/>
    </row>
    <row r="21" spans="1:17" ht="144" x14ac:dyDescent="0.3">
      <c r="A21" s="65"/>
      <c r="B21" s="32" t="s">
        <v>700</v>
      </c>
      <c r="C21" s="132" t="s">
        <v>20</v>
      </c>
      <c r="D21" s="136" t="s">
        <v>725</v>
      </c>
      <c r="E21" s="140" t="s">
        <v>712</v>
      </c>
      <c r="F21" s="68" t="s">
        <v>118</v>
      </c>
      <c r="G21" s="37" t="s">
        <v>118</v>
      </c>
      <c r="H21" s="77" t="s">
        <v>225</v>
      </c>
      <c r="I21" s="46"/>
      <c r="J21" s="86" t="s">
        <v>519</v>
      </c>
      <c r="K21" s="79" t="s">
        <v>411</v>
      </c>
      <c r="L21" s="46"/>
      <c r="M21" s="46"/>
      <c r="N21" s="46"/>
      <c r="O21" s="46"/>
      <c r="P21" s="46"/>
      <c r="Q21" s="46"/>
    </row>
    <row r="22" spans="1:17" ht="129.6" x14ac:dyDescent="0.3">
      <c r="A22" s="65"/>
      <c r="B22" s="32" t="s">
        <v>700</v>
      </c>
      <c r="C22" s="132" t="s">
        <v>20</v>
      </c>
      <c r="D22" s="136" t="s">
        <v>726</v>
      </c>
      <c r="E22" s="140" t="s">
        <v>712</v>
      </c>
      <c r="F22" s="68" t="s">
        <v>119</v>
      </c>
      <c r="G22" s="37" t="s">
        <v>119</v>
      </c>
      <c r="H22" s="77" t="s">
        <v>226</v>
      </c>
      <c r="I22" s="46"/>
      <c r="J22" s="86" t="s">
        <v>520</v>
      </c>
      <c r="K22" s="79" t="s">
        <v>412</v>
      </c>
      <c r="L22" s="46"/>
      <c r="M22" s="46"/>
      <c r="N22" s="46"/>
      <c r="O22" s="46"/>
      <c r="P22" s="46"/>
      <c r="Q22" s="46"/>
    </row>
    <row r="23" spans="1:17" ht="129.6" x14ac:dyDescent="0.3">
      <c r="A23" s="65"/>
      <c r="B23" s="32" t="s">
        <v>700</v>
      </c>
      <c r="C23" s="132" t="s">
        <v>20</v>
      </c>
      <c r="D23" s="136" t="s">
        <v>727</v>
      </c>
      <c r="E23" s="140" t="s">
        <v>712</v>
      </c>
      <c r="F23" s="68" t="s">
        <v>120</v>
      </c>
      <c r="G23" s="37" t="s">
        <v>120</v>
      </c>
      <c r="H23" s="77" t="s">
        <v>227</v>
      </c>
      <c r="I23" s="46"/>
      <c r="J23" s="86" t="s">
        <v>521</v>
      </c>
      <c r="K23" s="79" t="s">
        <v>413</v>
      </c>
      <c r="L23" s="46"/>
      <c r="M23" s="46"/>
      <c r="N23" s="46"/>
      <c r="O23" s="46"/>
      <c r="P23" s="46"/>
      <c r="Q23" s="46"/>
    </row>
    <row r="24" spans="1:17" ht="115.2" x14ac:dyDescent="0.3">
      <c r="A24" s="65"/>
      <c r="B24" s="32" t="s">
        <v>700</v>
      </c>
      <c r="C24" s="132" t="s">
        <v>20</v>
      </c>
      <c r="D24" s="136" t="s">
        <v>328</v>
      </c>
      <c r="E24" s="140" t="s">
        <v>712</v>
      </c>
      <c r="F24" s="68" t="s">
        <v>121</v>
      </c>
      <c r="G24" s="37" t="s">
        <v>121</v>
      </c>
      <c r="H24" s="77" t="s">
        <v>228</v>
      </c>
      <c r="I24" s="46"/>
      <c r="J24" s="86" t="s">
        <v>522</v>
      </c>
      <c r="K24" s="79" t="s">
        <v>414</v>
      </c>
      <c r="L24" s="46"/>
      <c r="M24" s="46"/>
      <c r="N24" s="46"/>
      <c r="O24" s="46"/>
      <c r="P24" s="46"/>
      <c r="Q24" s="46"/>
    </row>
    <row r="25" spans="1:17" ht="129.6" x14ac:dyDescent="0.3">
      <c r="A25" s="65"/>
      <c r="B25" s="32" t="s">
        <v>700</v>
      </c>
      <c r="C25" s="132" t="s">
        <v>20</v>
      </c>
      <c r="D25" s="136" t="s">
        <v>329</v>
      </c>
      <c r="E25" s="140" t="s">
        <v>712</v>
      </c>
      <c r="F25" s="68" t="s">
        <v>122</v>
      </c>
      <c r="G25" s="37" t="s">
        <v>122</v>
      </c>
      <c r="H25" s="77" t="s">
        <v>229</v>
      </c>
      <c r="I25" s="46"/>
      <c r="J25" s="86" t="s">
        <v>523</v>
      </c>
      <c r="K25" s="79" t="s">
        <v>415</v>
      </c>
      <c r="L25" s="46"/>
      <c r="M25" s="46"/>
      <c r="N25" s="46"/>
      <c r="O25" s="46"/>
      <c r="P25" s="46"/>
      <c r="Q25" s="46"/>
    </row>
    <row r="26" spans="1:17" ht="144" x14ac:dyDescent="0.3">
      <c r="A26" s="65"/>
      <c r="B26" s="32" t="s">
        <v>700</v>
      </c>
      <c r="C26" s="132" t="s">
        <v>20</v>
      </c>
      <c r="D26" s="138" t="s">
        <v>728</v>
      </c>
      <c r="E26" s="140" t="s">
        <v>712</v>
      </c>
      <c r="F26" s="68" t="s">
        <v>123</v>
      </c>
      <c r="G26" s="37" t="s">
        <v>123</v>
      </c>
      <c r="H26" s="77" t="s">
        <v>230</v>
      </c>
      <c r="I26" s="46"/>
      <c r="J26" s="86" t="s">
        <v>524</v>
      </c>
      <c r="K26" s="80" t="s">
        <v>416</v>
      </c>
      <c r="L26" s="46"/>
      <c r="M26" s="46"/>
      <c r="N26" s="46"/>
      <c r="O26" s="46"/>
      <c r="P26" s="46"/>
      <c r="Q26" s="46"/>
    </row>
    <row r="27" spans="1:17" ht="144" x14ac:dyDescent="0.3">
      <c r="A27" s="65"/>
      <c r="B27" s="32" t="s">
        <v>700</v>
      </c>
      <c r="C27" s="132" t="s">
        <v>20</v>
      </c>
      <c r="D27" s="138" t="s">
        <v>729</v>
      </c>
      <c r="E27" s="140" t="s">
        <v>712</v>
      </c>
      <c r="F27" s="68" t="s">
        <v>124</v>
      </c>
      <c r="G27" s="37" t="s">
        <v>124</v>
      </c>
      <c r="H27" s="77" t="s">
        <v>231</v>
      </c>
      <c r="I27" s="46"/>
      <c r="J27" s="86" t="s">
        <v>525</v>
      </c>
      <c r="K27" s="80" t="s">
        <v>417</v>
      </c>
      <c r="L27" s="46"/>
      <c r="M27" s="46"/>
      <c r="N27" s="46"/>
      <c r="O27" s="46"/>
      <c r="P27" s="46"/>
      <c r="Q27" s="46"/>
    </row>
    <row r="28" spans="1:17" ht="115.2" x14ac:dyDescent="0.3">
      <c r="A28" s="65"/>
      <c r="B28" s="32" t="s">
        <v>700</v>
      </c>
      <c r="C28" s="133"/>
      <c r="D28" s="136" t="s">
        <v>330</v>
      </c>
      <c r="E28" s="135"/>
      <c r="F28" s="68" t="s">
        <v>125</v>
      </c>
      <c r="G28" s="37" t="s">
        <v>125</v>
      </c>
      <c r="H28" s="77" t="s">
        <v>232</v>
      </c>
      <c r="I28" s="46"/>
      <c r="J28" s="86" t="s">
        <v>526</v>
      </c>
      <c r="K28" s="79" t="s">
        <v>418</v>
      </c>
      <c r="L28" s="46"/>
      <c r="M28" s="46"/>
      <c r="N28" s="46"/>
      <c r="O28" s="46"/>
      <c r="P28" s="46"/>
      <c r="Q28" s="46"/>
    </row>
    <row r="29" spans="1:17" ht="129.6" x14ac:dyDescent="0.3">
      <c r="A29" s="65"/>
      <c r="B29" s="32" t="s">
        <v>700</v>
      </c>
      <c r="C29" s="133"/>
      <c r="D29" s="136" t="s">
        <v>730</v>
      </c>
      <c r="E29" s="135"/>
      <c r="F29" s="68" t="s">
        <v>126</v>
      </c>
      <c r="G29" s="37" t="s">
        <v>126</v>
      </c>
      <c r="H29" s="77" t="s">
        <v>233</v>
      </c>
      <c r="I29" s="46"/>
      <c r="J29" s="86" t="s">
        <v>527</v>
      </c>
      <c r="K29" s="79" t="s">
        <v>419</v>
      </c>
      <c r="L29" s="46"/>
      <c r="M29" s="46"/>
      <c r="N29" s="46"/>
      <c r="O29" s="46"/>
      <c r="P29" s="46"/>
      <c r="Q29" s="46"/>
    </row>
    <row r="30" spans="1:17" ht="129.6" x14ac:dyDescent="0.3">
      <c r="A30" s="65"/>
      <c r="B30" s="32" t="s">
        <v>700</v>
      </c>
      <c r="C30" s="133"/>
      <c r="D30" s="136" t="s">
        <v>731</v>
      </c>
      <c r="E30" s="135"/>
      <c r="F30" s="68" t="s">
        <v>127</v>
      </c>
      <c r="G30" s="37" t="s">
        <v>127</v>
      </c>
      <c r="H30" s="77" t="s">
        <v>234</v>
      </c>
      <c r="I30" s="46"/>
      <c r="J30" s="86" t="s">
        <v>528</v>
      </c>
      <c r="K30" s="79" t="s">
        <v>420</v>
      </c>
      <c r="L30" s="46"/>
      <c r="M30" s="46"/>
      <c r="N30" s="46"/>
      <c r="O30" s="46"/>
      <c r="P30" s="46"/>
      <c r="Q30" s="46"/>
    </row>
    <row r="31" spans="1:17" ht="129.6" x14ac:dyDescent="0.3">
      <c r="A31" s="65"/>
      <c r="B31" s="32" t="s">
        <v>700</v>
      </c>
      <c r="C31" s="133"/>
      <c r="D31" s="136" t="s">
        <v>732</v>
      </c>
      <c r="E31" s="135"/>
      <c r="F31" s="68" t="s">
        <v>128</v>
      </c>
      <c r="G31" s="37" t="s">
        <v>128</v>
      </c>
      <c r="H31" s="77" t="s">
        <v>235</v>
      </c>
      <c r="I31" s="46"/>
      <c r="J31" s="86" t="s">
        <v>529</v>
      </c>
      <c r="K31" s="79" t="s">
        <v>421</v>
      </c>
      <c r="L31" s="46"/>
      <c r="M31" s="46"/>
      <c r="N31" s="46"/>
      <c r="O31" s="46"/>
      <c r="P31" s="46"/>
      <c r="Q31" s="46"/>
    </row>
    <row r="32" spans="1:17" ht="129.6" x14ac:dyDescent="0.3">
      <c r="A32" s="65"/>
      <c r="B32" s="32" t="s">
        <v>700</v>
      </c>
      <c r="C32" s="133"/>
      <c r="D32" s="136" t="s">
        <v>733</v>
      </c>
      <c r="E32" s="135"/>
      <c r="F32" s="68" t="s">
        <v>129</v>
      </c>
      <c r="G32" s="37" t="s">
        <v>129</v>
      </c>
      <c r="H32" s="77" t="s">
        <v>236</v>
      </c>
      <c r="I32" s="46"/>
      <c r="J32" s="86" t="s">
        <v>530</v>
      </c>
      <c r="K32" s="79" t="s">
        <v>422</v>
      </c>
      <c r="L32" s="46"/>
      <c r="M32" s="46"/>
      <c r="N32" s="46"/>
      <c r="O32" s="46"/>
      <c r="P32" s="46"/>
      <c r="Q32" s="46"/>
    </row>
    <row r="33" spans="1:17" ht="115.2" x14ac:dyDescent="0.3">
      <c r="A33" s="65"/>
      <c r="B33" s="32" t="s">
        <v>700</v>
      </c>
      <c r="C33" s="133"/>
      <c r="D33" s="136" t="s">
        <v>734</v>
      </c>
      <c r="E33" s="135"/>
      <c r="F33" s="68" t="s">
        <v>130</v>
      </c>
      <c r="G33" s="37" t="s">
        <v>130</v>
      </c>
      <c r="H33" s="77" t="s">
        <v>237</v>
      </c>
      <c r="I33" s="46"/>
      <c r="J33" s="86" t="s">
        <v>531</v>
      </c>
      <c r="K33" s="79" t="s">
        <v>423</v>
      </c>
      <c r="L33" s="46"/>
      <c r="M33" s="46"/>
      <c r="N33" s="46"/>
      <c r="O33" s="46"/>
      <c r="P33" s="46"/>
      <c r="Q33" s="46"/>
    </row>
    <row r="34" spans="1:17" ht="129.6" x14ac:dyDescent="0.3">
      <c r="A34" s="65"/>
      <c r="B34" s="32" t="s">
        <v>700</v>
      </c>
      <c r="C34" s="133"/>
      <c r="D34" s="136" t="s">
        <v>331</v>
      </c>
      <c r="E34" s="135"/>
      <c r="F34" s="68" t="s">
        <v>131</v>
      </c>
      <c r="G34" s="37" t="s">
        <v>131</v>
      </c>
      <c r="H34" s="77" t="s">
        <v>238</v>
      </c>
      <c r="I34" s="46"/>
      <c r="J34" s="86" t="s">
        <v>532</v>
      </c>
      <c r="K34" s="79" t="s">
        <v>424</v>
      </c>
      <c r="L34" s="46"/>
      <c r="M34" s="46"/>
      <c r="N34" s="46"/>
      <c r="O34" s="46"/>
      <c r="P34" s="46"/>
      <c r="Q34" s="46"/>
    </row>
    <row r="35" spans="1:17" ht="129.6" x14ac:dyDescent="0.3">
      <c r="A35" s="65"/>
      <c r="B35" s="32" t="s">
        <v>700</v>
      </c>
      <c r="C35" s="133"/>
      <c r="D35" s="136" t="s">
        <v>332</v>
      </c>
      <c r="E35" s="135"/>
      <c r="F35" s="68" t="s">
        <v>132</v>
      </c>
      <c r="G35" s="37" t="s">
        <v>132</v>
      </c>
      <c r="H35" s="77" t="s">
        <v>239</v>
      </c>
      <c r="I35" s="46"/>
      <c r="J35" s="86" t="s">
        <v>533</v>
      </c>
      <c r="K35" s="79" t="s">
        <v>425</v>
      </c>
      <c r="L35" s="46"/>
      <c r="M35" s="46"/>
      <c r="N35" s="46"/>
      <c r="O35" s="46"/>
      <c r="P35" s="46"/>
      <c r="Q35" s="46"/>
    </row>
    <row r="36" spans="1:17" ht="129.6" x14ac:dyDescent="0.3">
      <c r="A36" s="65"/>
      <c r="B36" s="32" t="s">
        <v>700</v>
      </c>
      <c r="C36" s="133"/>
      <c r="D36" s="136" t="s">
        <v>735</v>
      </c>
      <c r="E36" s="135"/>
      <c r="F36" s="68" t="s">
        <v>133</v>
      </c>
      <c r="G36" s="37" t="s">
        <v>133</v>
      </c>
      <c r="H36" s="77" t="s">
        <v>240</v>
      </c>
      <c r="I36" s="46"/>
      <c r="J36" s="86" t="s">
        <v>534</v>
      </c>
      <c r="K36" s="79" t="s">
        <v>426</v>
      </c>
      <c r="L36" s="46"/>
      <c r="M36" s="46"/>
      <c r="N36" s="46"/>
      <c r="O36" s="46"/>
      <c r="P36" s="46"/>
      <c r="Q36" s="46"/>
    </row>
    <row r="37" spans="1:17" ht="129.6" x14ac:dyDescent="0.3">
      <c r="A37" s="65"/>
      <c r="B37" s="32" t="s">
        <v>700</v>
      </c>
      <c r="C37" s="133"/>
      <c r="D37" s="136" t="s">
        <v>736</v>
      </c>
      <c r="E37" s="135"/>
      <c r="F37" s="68" t="s">
        <v>134</v>
      </c>
      <c r="G37" s="37" t="s">
        <v>134</v>
      </c>
      <c r="H37" s="77" t="s">
        <v>241</v>
      </c>
      <c r="I37" s="46"/>
      <c r="J37" s="86" t="s">
        <v>535</v>
      </c>
      <c r="K37" s="79" t="s">
        <v>427</v>
      </c>
      <c r="L37" s="46"/>
      <c r="M37" s="46"/>
      <c r="N37" s="46"/>
      <c r="O37" s="46"/>
      <c r="P37" s="46"/>
      <c r="Q37" s="46"/>
    </row>
    <row r="38" spans="1:17" ht="129.6" x14ac:dyDescent="0.3">
      <c r="A38" s="65"/>
      <c r="B38" s="32" t="s">
        <v>700</v>
      </c>
      <c r="C38" s="133"/>
      <c r="D38" s="136" t="s">
        <v>737</v>
      </c>
      <c r="E38" s="135"/>
      <c r="F38" s="68" t="s">
        <v>135</v>
      </c>
      <c r="G38" s="37" t="s">
        <v>135</v>
      </c>
      <c r="H38" s="77" t="s">
        <v>242</v>
      </c>
      <c r="I38" s="46"/>
      <c r="J38" s="86" t="s">
        <v>536</v>
      </c>
      <c r="K38" s="79" t="s">
        <v>428</v>
      </c>
      <c r="L38" s="46"/>
      <c r="M38" s="46"/>
      <c r="N38" s="46"/>
      <c r="O38" s="46"/>
      <c r="P38" s="46"/>
      <c r="Q38" s="46"/>
    </row>
    <row r="39" spans="1:17" ht="129.6" x14ac:dyDescent="0.3">
      <c r="A39" s="65"/>
      <c r="B39" s="32" t="s">
        <v>700</v>
      </c>
      <c r="C39" s="133"/>
      <c r="D39" s="136" t="s">
        <v>738</v>
      </c>
      <c r="E39" s="135"/>
      <c r="F39" s="68" t="s">
        <v>136</v>
      </c>
      <c r="G39" s="37" t="s">
        <v>136</v>
      </c>
      <c r="H39" s="77" t="s">
        <v>243</v>
      </c>
      <c r="I39" s="46"/>
      <c r="J39" s="86" t="s">
        <v>537</v>
      </c>
      <c r="K39" s="79" t="s">
        <v>429</v>
      </c>
      <c r="L39" s="46"/>
      <c r="M39" s="46"/>
      <c r="N39" s="46"/>
      <c r="O39" s="46"/>
      <c r="P39" s="46"/>
      <c r="Q39" s="46"/>
    </row>
    <row r="40" spans="1:17" ht="129.6" x14ac:dyDescent="0.3">
      <c r="A40" s="65"/>
      <c r="B40" s="32" t="s">
        <v>700</v>
      </c>
      <c r="C40" s="133"/>
      <c r="D40" s="136" t="s">
        <v>739</v>
      </c>
      <c r="E40" s="135"/>
      <c r="F40" s="68" t="s">
        <v>137</v>
      </c>
      <c r="G40" s="37" t="s">
        <v>137</v>
      </c>
      <c r="H40" s="77" t="s">
        <v>244</v>
      </c>
      <c r="I40" s="46"/>
      <c r="J40" s="86" t="s">
        <v>538</v>
      </c>
      <c r="K40" s="79" t="s">
        <v>430</v>
      </c>
      <c r="L40" s="46"/>
      <c r="M40" s="46"/>
      <c r="N40" s="46"/>
      <c r="O40" s="46"/>
      <c r="P40" s="46"/>
      <c r="Q40" s="46"/>
    </row>
    <row r="41" spans="1:17" ht="129.6" x14ac:dyDescent="0.3">
      <c r="A41" s="65"/>
      <c r="B41" s="32" t="s">
        <v>700</v>
      </c>
      <c r="C41" s="133"/>
      <c r="D41" s="136" t="s">
        <v>740</v>
      </c>
      <c r="E41" s="135"/>
      <c r="F41" s="68" t="s">
        <v>138</v>
      </c>
      <c r="G41" s="37" t="s">
        <v>138</v>
      </c>
      <c r="H41" s="77" t="s">
        <v>245</v>
      </c>
      <c r="I41" s="46"/>
      <c r="J41" s="86" t="s">
        <v>539</v>
      </c>
      <c r="K41" s="79" t="s">
        <v>431</v>
      </c>
      <c r="L41" s="46"/>
      <c r="M41" s="46"/>
      <c r="N41" s="46"/>
      <c r="O41" s="46"/>
      <c r="P41" s="46"/>
      <c r="Q41" s="46"/>
    </row>
    <row r="42" spans="1:17" ht="129.6" x14ac:dyDescent="0.3">
      <c r="A42" s="65"/>
      <c r="B42" s="32" t="s">
        <v>700</v>
      </c>
      <c r="C42" s="133"/>
      <c r="D42" s="139" t="s">
        <v>741</v>
      </c>
      <c r="E42" s="135"/>
      <c r="F42" s="68" t="s">
        <v>139</v>
      </c>
      <c r="G42" s="37" t="s">
        <v>139</v>
      </c>
      <c r="H42" s="77" t="s">
        <v>246</v>
      </c>
      <c r="I42" s="46"/>
      <c r="J42" s="86" t="s">
        <v>540</v>
      </c>
      <c r="K42" s="79" t="s">
        <v>432</v>
      </c>
      <c r="L42" s="46"/>
      <c r="M42" s="46"/>
      <c r="N42" s="46"/>
      <c r="O42" s="46"/>
      <c r="P42" s="46"/>
      <c r="Q42" s="46"/>
    </row>
    <row r="43" spans="1:17" ht="129.6" x14ac:dyDescent="0.3">
      <c r="A43" s="65"/>
      <c r="B43" s="32" t="s">
        <v>700</v>
      </c>
      <c r="C43" s="133"/>
      <c r="D43" s="136" t="s">
        <v>742</v>
      </c>
      <c r="E43" s="135"/>
      <c r="F43" s="68" t="s">
        <v>140</v>
      </c>
      <c r="G43" s="37" t="s">
        <v>140</v>
      </c>
      <c r="H43" s="77" t="s">
        <v>247</v>
      </c>
      <c r="I43" s="46"/>
      <c r="J43" s="86" t="s">
        <v>541</v>
      </c>
      <c r="K43" s="79" t="s">
        <v>433</v>
      </c>
      <c r="L43" s="46"/>
      <c r="M43" s="46"/>
      <c r="N43" s="46"/>
      <c r="O43" s="46"/>
      <c r="P43" s="46"/>
      <c r="Q43" s="46"/>
    </row>
    <row r="44" spans="1:17" ht="129.6" x14ac:dyDescent="0.3">
      <c r="A44" s="65"/>
      <c r="B44" s="32" t="s">
        <v>700</v>
      </c>
      <c r="C44" s="133"/>
      <c r="D44" s="136" t="s">
        <v>743</v>
      </c>
      <c r="E44" s="135"/>
      <c r="F44" s="68" t="s">
        <v>141</v>
      </c>
      <c r="G44" s="37" t="s">
        <v>141</v>
      </c>
      <c r="H44" s="77" t="s">
        <v>248</v>
      </c>
      <c r="I44" s="46"/>
      <c r="J44" s="86" t="s">
        <v>542</v>
      </c>
      <c r="K44" s="79" t="s">
        <v>434</v>
      </c>
      <c r="L44" s="46"/>
      <c r="M44" s="46"/>
      <c r="N44" s="46"/>
      <c r="O44" s="46"/>
      <c r="P44" s="46"/>
      <c r="Q44" s="46"/>
    </row>
    <row r="45" spans="1:17" ht="129.6" x14ac:dyDescent="0.3">
      <c r="A45" s="65"/>
      <c r="B45" s="32" t="s">
        <v>700</v>
      </c>
      <c r="C45" s="133"/>
      <c r="D45" s="136" t="s">
        <v>744</v>
      </c>
      <c r="E45" s="135"/>
      <c r="F45" s="68" t="s">
        <v>142</v>
      </c>
      <c r="G45" s="37" t="s">
        <v>142</v>
      </c>
      <c r="H45" s="77" t="s">
        <v>249</v>
      </c>
      <c r="I45" s="46"/>
      <c r="J45" s="86" t="s">
        <v>543</v>
      </c>
      <c r="K45" s="79" t="s">
        <v>435</v>
      </c>
      <c r="L45" s="46"/>
      <c r="M45" s="46"/>
      <c r="N45" s="46"/>
      <c r="O45" s="46"/>
      <c r="P45" s="46"/>
      <c r="Q45" s="46"/>
    </row>
    <row r="46" spans="1:17" ht="144" x14ac:dyDescent="0.3">
      <c r="A46" s="65"/>
      <c r="B46" s="32" t="s">
        <v>700</v>
      </c>
      <c r="C46" s="133"/>
      <c r="D46" s="136" t="s">
        <v>745</v>
      </c>
      <c r="E46" s="135"/>
      <c r="F46" s="68" t="s">
        <v>143</v>
      </c>
      <c r="G46" s="37" t="s">
        <v>143</v>
      </c>
      <c r="H46" s="77" t="s">
        <v>250</v>
      </c>
      <c r="I46" s="46"/>
      <c r="J46" s="86" t="s">
        <v>544</v>
      </c>
      <c r="K46" s="79" t="s">
        <v>436</v>
      </c>
      <c r="L46" s="46"/>
      <c r="M46" s="46"/>
      <c r="N46" s="46"/>
      <c r="O46" s="46"/>
      <c r="P46" s="46"/>
      <c r="Q46" s="46"/>
    </row>
    <row r="47" spans="1:17" ht="129.6" x14ac:dyDescent="0.3">
      <c r="A47" s="65"/>
      <c r="B47" s="32" t="s">
        <v>700</v>
      </c>
      <c r="C47" s="133"/>
      <c r="D47" s="136" t="s">
        <v>746</v>
      </c>
      <c r="E47" s="135"/>
      <c r="F47" s="68" t="s">
        <v>144</v>
      </c>
      <c r="G47" s="37" t="s">
        <v>144</v>
      </c>
      <c r="H47" s="77" t="s">
        <v>251</v>
      </c>
      <c r="I47" s="46"/>
      <c r="J47" s="86" t="s">
        <v>545</v>
      </c>
      <c r="K47" s="79" t="s">
        <v>437</v>
      </c>
      <c r="L47" s="46"/>
      <c r="M47" s="46"/>
      <c r="N47" s="46"/>
      <c r="O47" s="46"/>
      <c r="P47" s="46"/>
      <c r="Q47" s="46"/>
    </row>
    <row r="48" spans="1:17" ht="129.6" x14ac:dyDescent="0.3">
      <c r="A48" s="65"/>
      <c r="B48" s="32" t="s">
        <v>700</v>
      </c>
      <c r="C48" s="133"/>
      <c r="D48" s="136" t="s">
        <v>747</v>
      </c>
      <c r="E48" s="135"/>
      <c r="F48" s="68" t="s">
        <v>145</v>
      </c>
      <c r="G48" s="37" t="s">
        <v>145</v>
      </c>
      <c r="H48" s="77" t="s">
        <v>252</v>
      </c>
      <c r="I48" s="46"/>
      <c r="J48" s="86" t="s">
        <v>546</v>
      </c>
      <c r="K48" s="79" t="s">
        <v>438</v>
      </c>
      <c r="L48" s="46"/>
      <c r="M48" s="46"/>
      <c r="N48" s="46"/>
      <c r="O48" s="46"/>
      <c r="P48" s="46"/>
      <c r="Q48" s="46"/>
    </row>
    <row r="49" spans="1:17" ht="129.6" x14ac:dyDescent="0.3">
      <c r="A49" s="65"/>
      <c r="B49" s="32" t="s">
        <v>700</v>
      </c>
      <c r="C49" s="133"/>
      <c r="D49" s="136" t="s">
        <v>748</v>
      </c>
      <c r="E49" s="135"/>
      <c r="F49" s="68" t="s">
        <v>146</v>
      </c>
      <c r="G49" s="37" t="s">
        <v>146</v>
      </c>
      <c r="H49" s="77" t="s">
        <v>253</v>
      </c>
      <c r="I49" s="46"/>
      <c r="J49" s="86" t="s">
        <v>547</v>
      </c>
      <c r="K49" s="79" t="s">
        <v>439</v>
      </c>
      <c r="L49" s="46"/>
      <c r="M49" s="46"/>
      <c r="N49" s="46"/>
      <c r="O49" s="46"/>
      <c r="P49" s="46"/>
      <c r="Q49" s="46"/>
    </row>
    <row r="50" spans="1:17" ht="129.6" x14ac:dyDescent="0.3">
      <c r="A50" s="65"/>
      <c r="B50" s="32" t="s">
        <v>700</v>
      </c>
      <c r="C50" s="133"/>
      <c r="D50" s="136" t="s">
        <v>749</v>
      </c>
      <c r="E50" s="135"/>
      <c r="F50" s="68" t="s">
        <v>147</v>
      </c>
      <c r="G50" s="37" t="s">
        <v>147</v>
      </c>
      <c r="H50" s="77" t="s">
        <v>254</v>
      </c>
      <c r="I50" s="46"/>
      <c r="J50" s="86" t="s">
        <v>548</v>
      </c>
      <c r="K50" s="79" t="s">
        <v>440</v>
      </c>
      <c r="L50" s="46"/>
      <c r="M50" s="46"/>
      <c r="N50" s="46"/>
      <c r="O50" s="46"/>
      <c r="P50" s="46"/>
      <c r="Q50" s="46"/>
    </row>
    <row r="51" spans="1:17" ht="129.6" x14ac:dyDescent="0.3">
      <c r="A51" s="65"/>
      <c r="B51" s="32" t="s">
        <v>700</v>
      </c>
      <c r="C51" s="133"/>
      <c r="D51" s="137" t="s">
        <v>750</v>
      </c>
      <c r="E51" s="135"/>
      <c r="F51" s="68" t="s">
        <v>148</v>
      </c>
      <c r="G51" s="37" t="s">
        <v>148</v>
      </c>
      <c r="H51" s="77" t="s">
        <v>255</v>
      </c>
      <c r="I51" s="46"/>
      <c r="J51" s="86" t="s">
        <v>549</v>
      </c>
      <c r="K51" s="80" t="s">
        <v>441</v>
      </c>
      <c r="L51" s="46"/>
      <c r="M51" s="46"/>
      <c r="N51" s="46"/>
      <c r="O51" s="46"/>
      <c r="P51" s="46"/>
      <c r="Q51" s="46"/>
    </row>
    <row r="52" spans="1:17" ht="129.6" x14ac:dyDescent="0.3">
      <c r="A52" s="65"/>
      <c r="B52" s="32" t="s">
        <v>700</v>
      </c>
      <c r="C52" s="133"/>
      <c r="D52" s="136" t="s">
        <v>751</v>
      </c>
      <c r="E52" s="135"/>
      <c r="F52" s="68" t="s">
        <v>149</v>
      </c>
      <c r="G52" s="37" t="s">
        <v>149</v>
      </c>
      <c r="H52" s="77" t="s">
        <v>256</v>
      </c>
      <c r="I52" s="46"/>
      <c r="J52" s="86" t="s">
        <v>550</v>
      </c>
      <c r="K52" s="79" t="s">
        <v>442</v>
      </c>
      <c r="L52" s="46"/>
      <c r="M52" s="46"/>
      <c r="N52" s="46"/>
      <c r="O52" s="46"/>
      <c r="P52" s="46"/>
      <c r="Q52" s="46"/>
    </row>
    <row r="53" spans="1:17" ht="129.6" x14ac:dyDescent="0.3">
      <c r="A53" s="65"/>
      <c r="B53" s="32" t="s">
        <v>700</v>
      </c>
      <c r="C53" s="133"/>
      <c r="D53" s="136" t="s">
        <v>752</v>
      </c>
      <c r="E53" s="135"/>
      <c r="F53" s="68" t="s">
        <v>150</v>
      </c>
      <c r="G53" s="37" t="s">
        <v>150</v>
      </c>
      <c r="H53" s="77" t="s">
        <v>257</v>
      </c>
      <c r="I53" s="46"/>
      <c r="J53" s="86" t="s">
        <v>551</v>
      </c>
      <c r="K53" s="79" t="s">
        <v>443</v>
      </c>
      <c r="L53" s="46"/>
      <c r="M53" s="46"/>
      <c r="N53" s="46"/>
      <c r="O53" s="46"/>
      <c r="P53" s="46"/>
      <c r="Q53" s="46"/>
    </row>
    <row r="54" spans="1:17" ht="115.2" x14ac:dyDescent="0.3">
      <c r="A54" s="65"/>
      <c r="B54" s="32" t="s">
        <v>700</v>
      </c>
      <c r="C54" s="133"/>
      <c r="D54" s="136" t="s">
        <v>753</v>
      </c>
      <c r="E54" s="135"/>
      <c r="F54" s="68" t="s">
        <v>151</v>
      </c>
      <c r="G54" s="37" t="s">
        <v>151</v>
      </c>
      <c r="H54" s="77" t="s">
        <v>258</v>
      </c>
      <c r="I54" s="46"/>
      <c r="J54" s="86" t="s">
        <v>552</v>
      </c>
      <c r="K54" s="79" t="s">
        <v>444</v>
      </c>
      <c r="L54" s="46"/>
      <c r="M54" s="46"/>
      <c r="N54" s="46"/>
      <c r="O54" s="46"/>
      <c r="P54" s="46"/>
      <c r="Q54" s="46"/>
    </row>
    <row r="55" spans="1:17" ht="129.6" x14ac:dyDescent="0.3">
      <c r="A55" s="65"/>
      <c r="B55" s="32" t="s">
        <v>700</v>
      </c>
      <c r="C55" s="133"/>
      <c r="D55" s="136" t="s">
        <v>754</v>
      </c>
      <c r="E55" s="135"/>
      <c r="F55" s="68" t="s">
        <v>152</v>
      </c>
      <c r="G55" s="37" t="s">
        <v>152</v>
      </c>
      <c r="H55" s="77" t="s">
        <v>259</v>
      </c>
      <c r="I55" s="46"/>
      <c r="J55" s="86" t="s">
        <v>553</v>
      </c>
      <c r="K55" s="79" t="s">
        <v>445</v>
      </c>
      <c r="L55" s="46"/>
      <c r="M55" s="46"/>
      <c r="N55" s="46"/>
      <c r="O55" s="46"/>
      <c r="P55" s="46"/>
      <c r="Q55" s="46"/>
    </row>
    <row r="56" spans="1:17" ht="129.6" x14ac:dyDescent="0.3">
      <c r="A56" s="65"/>
      <c r="B56" s="32" t="s">
        <v>700</v>
      </c>
      <c r="C56" s="133"/>
      <c r="D56" s="136" t="s">
        <v>755</v>
      </c>
      <c r="E56" s="135"/>
      <c r="F56" s="68" t="s">
        <v>153</v>
      </c>
      <c r="G56" s="37" t="s">
        <v>153</v>
      </c>
      <c r="H56" s="77" t="s">
        <v>260</v>
      </c>
      <c r="I56" s="46"/>
      <c r="J56" s="86" t="s">
        <v>554</v>
      </c>
      <c r="K56" s="79" t="s">
        <v>446</v>
      </c>
      <c r="L56" s="46"/>
      <c r="M56" s="46"/>
      <c r="N56" s="46"/>
      <c r="O56" s="46"/>
      <c r="P56" s="46"/>
      <c r="Q56" s="46"/>
    </row>
    <row r="57" spans="1:17" ht="129.6" x14ac:dyDescent="0.3">
      <c r="A57" s="65"/>
      <c r="B57" s="32" t="s">
        <v>700</v>
      </c>
      <c r="C57" s="133"/>
      <c r="D57" s="138" t="s">
        <v>756</v>
      </c>
      <c r="E57" s="135"/>
      <c r="F57" s="68" t="s">
        <v>154</v>
      </c>
      <c r="G57" s="37" t="s">
        <v>154</v>
      </c>
      <c r="H57" s="77" t="s">
        <v>261</v>
      </c>
      <c r="I57" s="46"/>
      <c r="J57" s="86" t="s">
        <v>555</v>
      </c>
      <c r="K57" s="80" t="s">
        <v>447</v>
      </c>
      <c r="L57" s="46"/>
      <c r="M57" s="46"/>
      <c r="N57" s="46"/>
      <c r="O57" s="46"/>
      <c r="P57" s="46"/>
      <c r="Q57" s="46"/>
    </row>
    <row r="58" spans="1:17" ht="129.6" x14ac:dyDescent="0.3">
      <c r="A58" s="65"/>
      <c r="B58" s="32" t="s">
        <v>700</v>
      </c>
      <c r="C58" s="133"/>
      <c r="D58" s="136" t="s">
        <v>757</v>
      </c>
      <c r="E58" s="135"/>
      <c r="F58" s="68" t="s">
        <v>155</v>
      </c>
      <c r="G58" s="37" t="s">
        <v>155</v>
      </c>
      <c r="H58" s="77" t="s">
        <v>262</v>
      </c>
      <c r="I58" s="46"/>
      <c r="J58" s="86" t="s">
        <v>556</v>
      </c>
      <c r="K58" s="79" t="s">
        <v>448</v>
      </c>
      <c r="L58" s="46"/>
      <c r="M58" s="46"/>
      <c r="N58" s="46"/>
      <c r="O58" s="46"/>
      <c r="P58" s="46"/>
      <c r="Q58" s="46"/>
    </row>
    <row r="59" spans="1:17" ht="129.6" x14ac:dyDescent="0.3">
      <c r="A59" s="65"/>
      <c r="B59" s="32" t="s">
        <v>700</v>
      </c>
      <c r="C59" s="133"/>
      <c r="D59" s="136" t="s">
        <v>758</v>
      </c>
      <c r="E59" s="135"/>
      <c r="F59" s="68" t="s">
        <v>156</v>
      </c>
      <c r="G59" s="37" t="s">
        <v>156</v>
      </c>
      <c r="H59" s="77" t="s">
        <v>263</v>
      </c>
      <c r="I59" s="46"/>
      <c r="J59" s="86" t="s">
        <v>557</v>
      </c>
      <c r="K59" s="79" t="s">
        <v>449</v>
      </c>
      <c r="L59" s="46"/>
      <c r="M59" s="46"/>
      <c r="N59" s="46"/>
      <c r="O59" s="46"/>
      <c r="P59" s="46"/>
      <c r="Q59" s="46"/>
    </row>
    <row r="60" spans="1:17" ht="129.6" x14ac:dyDescent="0.3">
      <c r="A60" s="65"/>
      <c r="B60" s="32" t="s">
        <v>700</v>
      </c>
      <c r="C60" s="133"/>
      <c r="D60" s="136" t="s">
        <v>333</v>
      </c>
      <c r="E60" s="135"/>
      <c r="F60" s="68" t="s">
        <v>157</v>
      </c>
      <c r="G60" s="37" t="s">
        <v>157</v>
      </c>
      <c r="H60" s="77" t="s">
        <v>264</v>
      </c>
      <c r="I60" s="46"/>
      <c r="J60" s="86" t="s">
        <v>558</v>
      </c>
      <c r="K60" s="79" t="s">
        <v>450</v>
      </c>
      <c r="L60" s="46"/>
      <c r="M60" s="46"/>
      <c r="N60" s="46"/>
      <c r="O60" s="46"/>
      <c r="P60" s="46"/>
      <c r="Q60" s="46"/>
    </row>
    <row r="61" spans="1:17" ht="129.6" x14ac:dyDescent="0.3">
      <c r="A61" s="65"/>
      <c r="B61" s="32" t="s">
        <v>700</v>
      </c>
      <c r="C61" s="133"/>
      <c r="D61" s="136" t="s">
        <v>759</v>
      </c>
      <c r="E61" s="135"/>
      <c r="F61" s="68" t="s">
        <v>158</v>
      </c>
      <c r="G61" s="37" t="s">
        <v>158</v>
      </c>
      <c r="H61" s="77" t="s">
        <v>265</v>
      </c>
      <c r="I61" s="46"/>
      <c r="J61" s="86" t="s">
        <v>559</v>
      </c>
      <c r="K61" s="79" t="s">
        <v>451</v>
      </c>
      <c r="L61" s="46"/>
      <c r="M61" s="46"/>
      <c r="N61" s="46"/>
      <c r="O61" s="46"/>
      <c r="P61" s="46"/>
      <c r="Q61" s="46"/>
    </row>
    <row r="62" spans="1:17" ht="144" x14ac:dyDescent="0.3">
      <c r="A62" s="65"/>
      <c r="B62" s="32" t="s">
        <v>700</v>
      </c>
      <c r="C62" s="133"/>
      <c r="D62" s="136" t="s">
        <v>760</v>
      </c>
      <c r="E62" s="135"/>
      <c r="F62" s="68" t="s">
        <v>159</v>
      </c>
      <c r="G62" s="37" t="s">
        <v>159</v>
      </c>
      <c r="H62" s="77" t="s">
        <v>266</v>
      </c>
      <c r="I62" s="46"/>
      <c r="J62" s="86" t="s">
        <v>560</v>
      </c>
      <c r="K62" s="79" t="s">
        <v>452</v>
      </c>
      <c r="L62" s="46"/>
      <c r="M62" s="46"/>
      <c r="N62" s="46"/>
      <c r="O62" s="46"/>
      <c r="P62" s="46"/>
      <c r="Q62" s="46"/>
    </row>
    <row r="63" spans="1:17" ht="129.6" x14ac:dyDescent="0.3">
      <c r="A63" s="65"/>
      <c r="B63" s="32" t="s">
        <v>700</v>
      </c>
      <c r="C63" s="133"/>
      <c r="D63" s="136" t="s">
        <v>761</v>
      </c>
      <c r="E63" s="135"/>
      <c r="F63" s="68" t="s">
        <v>160</v>
      </c>
      <c r="G63" s="37" t="s">
        <v>160</v>
      </c>
      <c r="H63" s="77" t="s">
        <v>267</v>
      </c>
      <c r="I63" s="46"/>
      <c r="J63" s="86" t="s">
        <v>561</v>
      </c>
      <c r="K63" s="79" t="s">
        <v>453</v>
      </c>
      <c r="L63" s="46"/>
      <c r="M63" s="46"/>
      <c r="N63" s="46"/>
      <c r="O63" s="46"/>
      <c r="P63" s="46"/>
      <c r="Q63" s="46"/>
    </row>
    <row r="64" spans="1:17" ht="115.2" x14ac:dyDescent="0.3">
      <c r="A64" s="65"/>
      <c r="B64" s="32" t="s">
        <v>700</v>
      </c>
      <c r="C64" s="133"/>
      <c r="D64" s="136" t="s">
        <v>762</v>
      </c>
      <c r="E64" s="135"/>
      <c r="F64" s="68" t="s">
        <v>161</v>
      </c>
      <c r="G64" s="37" t="s">
        <v>161</v>
      </c>
      <c r="H64" s="77" t="s">
        <v>268</v>
      </c>
      <c r="I64" s="46"/>
      <c r="J64" s="86" t="s">
        <v>562</v>
      </c>
      <c r="K64" s="79" t="s">
        <v>454</v>
      </c>
      <c r="L64" s="46"/>
      <c r="M64" s="46"/>
      <c r="N64" s="46"/>
      <c r="O64" s="46"/>
      <c r="P64" s="46"/>
      <c r="Q64" s="46"/>
    </row>
    <row r="65" spans="1:17" ht="129.6" x14ac:dyDescent="0.3">
      <c r="A65" s="65"/>
      <c r="B65" s="32" t="s">
        <v>700</v>
      </c>
      <c r="C65" s="133"/>
      <c r="D65" s="136" t="s">
        <v>763</v>
      </c>
      <c r="E65" s="135"/>
      <c r="F65" s="68" t="s">
        <v>162</v>
      </c>
      <c r="G65" s="37" t="s">
        <v>162</v>
      </c>
      <c r="H65" s="77" t="s">
        <v>269</v>
      </c>
      <c r="I65" s="46"/>
      <c r="J65" s="86" t="s">
        <v>563</v>
      </c>
      <c r="K65" s="79" t="s">
        <v>455</v>
      </c>
      <c r="L65" s="46"/>
      <c r="M65" s="46"/>
      <c r="N65" s="46"/>
      <c r="O65" s="46"/>
      <c r="P65" s="46"/>
      <c r="Q65" s="46"/>
    </row>
    <row r="66" spans="1:17" ht="129.6" x14ac:dyDescent="0.3">
      <c r="A66" s="65"/>
      <c r="B66" s="32" t="s">
        <v>700</v>
      </c>
      <c r="C66" s="133"/>
      <c r="D66" s="136" t="s">
        <v>764</v>
      </c>
      <c r="E66" s="135"/>
      <c r="F66" s="68" t="s">
        <v>163</v>
      </c>
      <c r="G66" s="37" t="s">
        <v>163</v>
      </c>
      <c r="H66" s="77" t="s">
        <v>270</v>
      </c>
      <c r="I66" s="46"/>
      <c r="J66" s="86" t="s">
        <v>564</v>
      </c>
      <c r="K66" s="79" t="s">
        <v>456</v>
      </c>
      <c r="L66" s="46"/>
      <c r="M66" s="46"/>
      <c r="N66" s="46"/>
      <c r="O66" s="46"/>
      <c r="P66" s="46"/>
      <c r="Q66" s="46"/>
    </row>
    <row r="67" spans="1:17" ht="129.6" x14ac:dyDescent="0.3">
      <c r="A67" s="65"/>
      <c r="B67" s="32" t="s">
        <v>700</v>
      </c>
      <c r="C67" s="133"/>
      <c r="D67" s="136" t="s">
        <v>765</v>
      </c>
      <c r="E67" s="135"/>
      <c r="F67" s="68" t="s">
        <v>164</v>
      </c>
      <c r="G67" s="37" t="s">
        <v>164</v>
      </c>
      <c r="H67" s="77" t="s">
        <v>271</v>
      </c>
      <c r="I67" s="46"/>
      <c r="J67" s="86" t="s">
        <v>565</v>
      </c>
      <c r="K67" s="79" t="s">
        <v>457</v>
      </c>
      <c r="L67" s="46"/>
      <c r="M67" s="46"/>
      <c r="N67" s="46"/>
      <c r="O67" s="46"/>
      <c r="P67" s="46"/>
      <c r="Q67" s="46"/>
    </row>
    <row r="68" spans="1:17" ht="129.6" x14ac:dyDescent="0.3">
      <c r="A68" s="65"/>
      <c r="B68" s="32" t="s">
        <v>700</v>
      </c>
      <c r="C68" s="133"/>
      <c r="D68" s="136" t="s">
        <v>766</v>
      </c>
      <c r="E68" s="135"/>
      <c r="F68" s="68" t="s">
        <v>165</v>
      </c>
      <c r="G68" s="37" t="s">
        <v>165</v>
      </c>
      <c r="H68" s="77" t="s">
        <v>272</v>
      </c>
      <c r="I68" s="46"/>
      <c r="J68" s="86" t="s">
        <v>566</v>
      </c>
      <c r="K68" s="79" t="s">
        <v>458</v>
      </c>
      <c r="L68" s="46"/>
      <c r="M68" s="46"/>
      <c r="N68" s="46"/>
      <c r="O68" s="46"/>
      <c r="P68" s="46"/>
      <c r="Q68" s="46"/>
    </row>
    <row r="69" spans="1:17" ht="129.6" x14ac:dyDescent="0.3">
      <c r="A69" s="65"/>
      <c r="B69" s="32" t="s">
        <v>700</v>
      </c>
      <c r="C69" s="133"/>
      <c r="D69" s="136" t="s">
        <v>334</v>
      </c>
      <c r="E69" s="135"/>
      <c r="F69" s="68" t="s">
        <v>166</v>
      </c>
      <c r="G69" s="37" t="s">
        <v>166</v>
      </c>
      <c r="H69" s="77" t="s">
        <v>273</v>
      </c>
      <c r="I69" s="46"/>
      <c r="J69" s="86" t="s">
        <v>567</v>
      </c>
      <c r="K69" s="79" t="s">
        <v>459</v>
      </c>
      <c r="L69" s="46"/>
      <c r="M69" s="46"/>
      <c r="N69" s="46"/>
      <c r="O69" s="46"/>
      <c r="P69" s="46"/>
      <c r="Q69" s="46"/>
    </row>
    <row r="70" spans="1:17" ht="129.6" x14ac:dyDescent="0.3">
      <c r="A70" s="65"/>
      <c r="B70" s="32" t="s">
        <v>700</v>
      </c>
      <c r="C70" s="133"/>
      <c r="D70" s="138" t="s">
        <v>767</v>
      </c>
      <c r="E70" s="135"/>
      <c r="F70" s="68" t="s">
        <v>167</v>
      </c>
      <c r="G70" s="37" t="s">
        <v>167</v>
      </c>
      <c r="H70" s="77" t="s">
        <v>274</v>
      </c>
      <c r="I70" s="46"/>
      <c r="J70" s="86" t="s">
        <v>568</v>
      </c>
      <c r="K70" s="80" t="s">
        <v>460</v>
      </c>
      <c r="L70" s="46"/>
      <c r="M70" s="46"/>
      <c r="N70" s="46"/>
      <c r="O70" s="46"/>
      <c r="P70" s="46"/>
      <c r="Q70" s="46"/>
    </row>
    <row r="71" spans="1:17" ht="129.6" x14ac:dyDescent="0.3">
      <c r="A71" s="65"/>
      <c r="B71" s="32" t="s">
        <v>700</v>
      </c>
      <c r="C71" s="133"/>
      <c r="D71" s="136" t="s">
        <v>768</v>
      </c>
      <c r="E71" s="135"/>
      <c r="F71" s="68" t="s">
        <v>168</v>
      </c>
      <c r="G71" s="37" t="s">
        <v>168</v>
      </c>
      <c r="H71" s="77" t="s">
        <v>275</v>
      </c>
      <c r="I71" s="46"/>
      <c r="J71" s="86" t="s">
        <v>569</v>
      </c>
      <c r="K71" s="79" t="s">
        <v>461</v>
      </c>
      <c r="L71" s="46"/>
      <c r="M71" s="46"/>
      <c r="N71" s="46"/>
      <c r="O71" s="46"/>
      <c r="P71" s="46"/>
      <c r="Q71" s="46"/>
    </row>
    <row r="72" spans="1:17" ht="129.6" x14ac:dyDescent="0.3">
      <c r="A72" s="65"/>
      <c r="B72" s="32" t="s">
        <v>700</v>
      </c>
      <c r="C72" s="133"/>
      <c r="D72" s="136" t="s">
        <v>769</v>
      </c>
      <c r="E72" s="135"/>
      <c r="F72" s="68" t="s">
        <v>169</v>
      </c>
      <c r="G72" s="37" t="s">
        <v>169</v>
      </c>
      <c r="H72" s="77" t="s">
        <v>276</v>
      </c>
      <c r="I72" s="46"/>
      <c r="J72" s="86" t="s">
        <v>570</v>
      </c>
      <c r="K72" s="79" t="s">
        <v>462</v>
      </c>
      <c r="L72" s="46"/>
      <c r="M72" s="46"/>
      <c r="N72" s="46"/>
      <c r="O72" s="46"/>
      <c r="P72" s="46"/>
      <c r="Q72" s="46"/>
    </row>
    <row r="73" spans="1:17" ht="129.6" x14ac:dyDescent="0.3">
      <c r="A73" s="65"/>
      <c r="B73" s="32" t="s">
        <v>700</v>
      </c>
      <c r="C73" s="133"/>
      <c r="D73" s="136" t="s">
        <v>770</v>
      </c>
      <c r="E73" s="135"/>
      <c r="F73" s="68" t="s">
        <v>170</v>
      </c>
      <c r="G73" s="37" t="s">
        <v>170</v>
      </c>
      <c r="H73" s="77" t="s">
        <v>277</v>
      </c>
      <c r="I73" s="46"/>
      <c r="J73" s="86" t="s">
        <v>571</v>
      </c>
      <c r="K73" s="79" t="s">
        <v>463</v>
      </c>
      <c r="L73" s="46"/>
      <c r="M73" s="46"/>
      <c r="N73" s="46"/>
      <c r="O73" s="46"/>
      <c r="P73" s="46"/>
      <c r="Q73" s="46"/>
    </row>
    <row r="74" spans="1:17" ht="129.6" x14ac:dyDescent="0.3">
      <c r="A74" s="65"/>
      <c r="B74" s="32" t="s">
        <v>700</v>
      </c>
      <c r="C74" s="133"/>
      <c r="D74" s="136" t="s">
        <v>771</v>
      </c>
      <c r="E74" s="135"/>
      <c r="F74" s="68" t="s">
        <v>171</v>
      </c>
      <c r="G74" s="37" t="s">
        <v>171</v>
      </c>
      <c r="H74" s="77" t="s">
        <v>278</v>
      </c>
      <c r="I74" s="46"/>
      <c r="J74" s="86" t="s">
        <v>572</v>
      </c>
      <c r="K74" s="79" t="s">
        <v>464</v>
      </c>
      <c r="L74" s="46"/>
      <c r="M74" s="46"/>
      <c r="N74" s="46"/>
      <c r="O74" s="46"/>
      <c r="P74" s="46"/>
      <c r="Q74" s="46"/>
    </row>
    <row r="75" spans="1:17" ht="129.6" x14ac:dyDescent="0.3">
      <c r="A75" s="65"/>
      <c r="B75" s="32" t="s">
        <v>700</v>
      </c>
      <c r="C75" s="133"/>
      <c r="D75" s="138" t="s">
        <v>772</v>
      </c>
      <c r="E75" s="135"/>
      <c r="F75" s="68" t="s">
        <v>172</v>
      </c>
      <c r="G75" s="37" t="s">
        <v>172</v>
      </c>
      <c r="H75" s="77" t="s">
        <v>279</v>
      </c>
      <c r="I75" s="46"/>
      <c r="J75" s="86" t="s">
        <v>573</v>
      </c>
      <c r="K75" s="80" t="s">
        <v>465</v>
      </c>
      <c r="L75" s="46"/>
      <c r="M75" s="46"/>
      <c r="N75" s="46"/>
      <c r="O75" s="46"/>
      <c r="P75" s="46"/>
      <c r="Q75" s="46"/>
    </row>
    <row r="76" spans="1:17" ht="129.6" x14ac:dyDescent="0.3">
      <c r="A76" s="65"/>
      <c r="B76" s="32" t="s">
        <v>700</v>
      </c>
      <c r="C76" s="133"/>
      <c r="D76" s="138" t="s">
        <v>773</v>
      </c>
      <c r="E76" s="135"/>
      <c r="F76" s="68" t="s">
        <v>173</v>
      </c>
      <c r="G76" s="37" t="s">
        <v>173</v>
      </c>
      <c r="H76" s="77" t="s">
        <v>280</v>
      </c>
      <c r="I76" s="46"/>
      <c r="J76" s="86" t="s">
        <v>574</v>
      </c>
      <c r="K76" s="80" t="s">
        <v>465</v>
      </c>
      <c r="L76" s="46"/>
      <c r="M76" s="46"/>
      <c r="N76" s="46"/>
      <c r="O76" s="46"/>
      <c r="P76" s="46"/>
      <c r="Q76" s="46"/>
    </row>
    <row r="77" spans="1:17" ht="129.6" x14ac:dyDescent="0.3">
      <c r="A77" s="65"/>
      <c r="B77" s="32" t="s">
        <v>700</v>
      </c>
      <c r="C77" s="133"/>
      <c r="D77" s="136" t="s">
        <v>336</v>
      </c>
      <c r="E77" s="135"/>
      <c r="F77" s="68" t="s">
        <v>174</v>
      </c>
      <c r="G77" s="37" t="s">
        <v>174</v>
      </c>
      <c r="H77" s="77" t="s">
        <v>281</v>
      </c>
      <c r="I77" s="46"/>
      <c r="J77" s="86" t="s">
        <v>575</v>
      </c>
      <c r="K77" s="79" t="s">
        <v>466</v>
      </c>
      <c r="L77" s="46"/>
      <c r="M77" s="46"/>
      <c r="N77" s="46"/>
      <c r="O77" s="46"/>
      <c r="P77" s="46"/>
      <c r="Q77" s="46"/>
    </row>
    <row r="78" spans="1:17" ht="129.6" x14ac:dyDescent="0.3">
      <c r="A78" s="65"/>
      <c r="B78" s="32" t="s">
        <v>700</v>
      </c>
      <c r="C78" s="133"/>
      <c r="D78" s="137" t="s">
        <v>774</v>
      </c>
      <c r="E78" s="135"/>
      <c r="F78" s="68" t="s">
        <v>175</v>
      </c>
      <c r="G78" s="37" t="s">
        <v>175</v>
      </c>
      <c r="H78" s="77" t="s">
        <v>282</v>
      </c>
      <c r="I78" s="46"/>
      <c r="J78" s="86" t="s">
        <v>576</v>
      </c>
      <c r="K78" s="80" t="s">
        <v>467</v>
      </c>
      <c r="L78" s="46"/>
      <c r="M78" s="46"/>
      <c r="N78" s="46"/>
      <c r="O78" s="46"/>
      <c r="P78" s="46"/>
      <c r="Q78" s="46"/>
    </row>
    <row r="79" spans="1:17" ht="129.6" x14ac:dyDescent="0.3">
      <c r="A79" s="65"/>
      <c r="B79" s="32" t="s">
        <v>700</v>
      </c>
      <c r="C79" s="133"/>
      <c r="D79" s="138" t="s">
        <v>775</v>
      </c>
      <c r="E79" s="135"/>
      <c r="F79" s="68" t="s">
        <v>176</v>
      </c>
      <c r="G79" s="37" t="s">
        <v>176</v>
      </c>
      <c r="H79" s="77" t="s">
        <v>283</v>
      </c>
      <c r="I79" s="46"/>
      <c r="J79" s="86" t="s">
        <v>577</v>
      </c>
      <c r="K79" s="80" t="s">
        <v>468</v>
      </c>
      <c r="L79" s="46"/>
      <c r="M79" s="46"/>
      <c r="N79" s="46"/>
      <c r="O79" s="46"/>
      <c r="P79" s="46"/>
      <c r="Q79" s="46"/>
    </row>
    <row r="80" spans="1:17" ht="115.2" x14ac:dyDescent="0.3">
      <c r="A80" s="65"/>
      <c r="B80" s="32" t="s">
        <v>700</v>
      </c>
      <c r="C80" s="133"/>
      <c r="D80" s="136" t="s">
        <v>776</v>
      </c>
      <c r="E80" s="135"/>
      <c r="F80" s="68" t="s">
        <v>177</v>
      </c>
      <c r="G80" s="37" t="s">
        <v>177</v>
      </c>
      <c r="H80" s="77" t="s">
        <v>284</v>
      </c>
      <c r="I80" s="46"/>
      <c r="J80" s="86" t="s">
        <v>578</v>
      </c>
      <c r="K80" s="79" t="s">
        <v>469</v>
      </c>
      <c r="L80" s="46"/>
      <c r="M80" s="46"/>
      <c r="N80" s="46"/>
      <c r="O80" s="46"/>
      <c r="P80" s="46"/>
      <c r="Q80" s="46"/>
    </row>
    <row r="81" spans="1:17" ht="115.2" x14ac:dyDescent="0.3">
      <c r="A81" s="65"/>
      <c r="B81" s="32" t="s">
        <v>700</v>
      </c>
      <c r="C81" s="133"/>
      <c r="D81" s="136" t="s">
        <v>337</v>
      </c>
      <c r="E81" s="135"/>
      <c r="F81" s="68" t="s">
        <v>178</v>
      </c>
      <c r="G81" s="37" t="s">
        <v>178</v>
      </c>
      <c r="H81" s="77" t="s">
        <v>285</v>
      </c>
      <c r="I81" s="46"/>
      <c r="J81" s="86" t="s">
        <v>579</v>
      </c>
      <c r="K81" s="79" t="s">
        <v>470</v>
      </c>
      <c r="L81" s="46"/>
      <c r="M81" s="46"/>
      <c r="N81" s="46"/>
      <c r="O81" s="46"/>
      <c r="P81" s="46"/>
      <c r="Q81" s="46"/>
    </row>
    <row r="82" spans="1:17" ht="129.6" x14ac:dyDescent="0.3">
      <c r="A82" s="65"/>
      <c r="B82" s="32" t="s">
        <v>700</v>
      </c>
      <c r="C82" s="133"/>
      <c r="D82" s="136" t="s">
        <v>338</v>
      </c>
      <c r="E82" s="135"/>
      <c r="F82" s="68" t="s">
        <v>179</v>
      </c>
      <c r="G82" s="37" t="s">
        <v>179</v>
      </c>
      <c r="H82" s="77" t="s">
        <v>286</v>
      </c>
      <c r="I82" s="46"/>
      <c r="J82" s="86" t="s">
        <v>580</v>
      </c>
      <c r="K82" s="79" t="s">
        <v>471</v>
      </c>
      <c r="L82" s="46"/>
      <c r="M82" s="46"/>
      <c r="N82" s="46"/>
      <c r="O82" s="46"/>
      <c r="P82" s="46"/>
      <c r="Q82" s="46"/>
    </row>
    <row r="83" spans="1:17" ht="115.2" x14ac:dyDescent="0.3">
      <c r="A83" s="65"/>
      <c r="B83" s="32" t="s">
        <v>700</v>
      </c>
      <c r="C83" s="133"/>
      <c r="D83" s="136" t="s">
        <v>339</v>
      </c>
      <c r="E83" s="135"/>
      <c r="F83" s="68" t="s">
        <v>180</v>
      </c>
      <c r="G83" s="37" t="s">
        <v>180</v>
      </c>
      <c r="H83" s="77" t="s">
        <v>287</v>
      </c>
      <c r="I83" s="46"/>
      <c r="J83" s="86" t="s">
        <v>581</v>
      </c>
      <c r="K83" s="79" t="s">
        <v>472</v>
      </c>
      <c r="L83" s="46"/>
      <c r="M83" s="46"/>
      <c r="N83" s="46"/>
      <c r="O83" s="46"/>
      <c r="P83" s="46"/>
      <c r="Q83" s="46"/>
    </row>
    <row r="84" spans="1:17" ht="129.6" x14ac:dyDescent="0.3">
      <c r="A84" s="65"/>
      <c r="B84" s="32" t="s">
        <v>700</v>
      </c>
      <c r="C84" s="133"/>
      <c r="D84" s="136" t="s">
        <v>777</v>
      </c>
      <c r="E84" s="135"/>
      <c r="F84" s="68" t="s">
        <v>181</v>
      </c>
      <c r="G84" s="37" t="s">
        <v>181</v>
      </c>
      <c r="H84" s="77" t="s">
        <v>288</v>
      </c>
      <c r="I84" s="46"/>
      <c r="J84" s="86" t="s">
        <v>582</v>
      </c>
      <c r="K84" s="79" t="s">
        <v>473</v>
      </c>
      <c r="L84" s="46"/>
      <c r="M84" s="46"/>
      <c r="N84" s="46"/>
      <c r="O84" s="46"/>
      <c r="P84" s="46"/>
      <c r="Q84" s="46"/>
    </row>
    <row r="85" spans="1:17" ht="129.6" x14ac:dyDescent="0.3">
      <c r="A85" s="65"/>
      <c r="B85" s="32" t="s">
        <v>700</v>
      </c>
      <c r="C85" s="133"/>
      <c r="D85" s="136" t="s">
        <v>778</v>
      </c>
      <c r="E85" s="135"/>
      <c r="F85" s="68" t="s">
        <v>182</v>
      </c>
      <c r="G85" s="37" t="s">
        <v>182</v>
      </c>
      <c r="H85" s="77" t="s">
        <v>289</v>
      </c>
      <c r="I85" s="46"/>
      <c r="J85" s="86" t="s">
        <v>583</v>
      </c>
      <c r="K85" s="79" t="s">
        <v>474</v>
      </c>
      <c r="L85" s="46"/>
      <c r="M85" s="46"/>
      <c r="N85" s="46"/>
      <c r="O85" s="46"/>
      <c r="P85" s="46"/>
      <c r="Q85" s="46"/>
    </row>
    <row r="86" spans="1:17" ht="129.6" x14ac:dyDescent="0.3">
      <c r="A86" s="65"/>
      <c r="B86" s="32" t="s">
        <v>700</v>
      </c>
      <c r="C86" s="133"/>
      <c r="D86" s="136" t="s">
        <v>779</v>
      </c>
      <c r="E86" s="135"/>
      <c r="F86" s="68" t="s">
        <v>183</v>
      </c>
      <c r="G86" s="37" t="s">
        <v>183</v>
      </c>
      <c r="H86" s="77" t="s">
        <v>290</v>
      </c>
      <c r="I86" s="46"/>
      <c r="J86" s="86" t="s">
        <v>584</v>
      </c>
      <c r="K86" s="79" t="s">
        <v>475</v>
      </c>
      <c r="L86" s="46"/>
      <c r="M86" s="46"/>
      <c r="N86" s="46"/>
      <c r="O86" s="46"/>
      <c r="P86" s="46"/>
      <c r="Q86" s="46"/>
    </row>
    <row r="87" spans="1:17" ht="129.6" x14ac:dyDescent="0.3">
      <c r="A87" s="65"/>
      <c r="B87" s="32" t="s">
        <v>700</v>
      </c>
      <c r="C87" s="133"/>
      <c r="D87" s="136" t="s">
        <v>780</v>
      </c>
      <c r="E87" s="135"/>
      <c r="F87" s="68" t="s">
        <v>184</v>
      </c>
      <c r="G87" s="37" t="s">
        <v>184</v>
      </c>
      <c r="H87" s="77" t="s">
        <v>291</v>
      </c>
      <c r="I87" s="46"/>
      <c r="J87" s="86" t="s">
        <v>585</v>
      </c>
      <c r="K87" s="79" t="s">
        <v>476</v>
      </c>
      <c r="L87" s="46"/>
      <c r="M87" s="46"/>
      <c r="N87" s="46"/>
      <c r="O87" s="46"/>
      <c r="P87" s="46"/>
      <c r="Q87" s="46"/>
    </row>
    <row r="88" spans="1:17" ht="144" x14ac:dyDescent="0.3">
      <c r="A88" s="65"/>
      <c r="B88" s="32" t="s">
        <v>700</v>
      </c>
      <c r="C88" s="133"/>
      <c r="D88" s="136" t="s">
        <v>781</v>
      </c>
      <c r="E88" s="135"/>
      <c r="F88" s="68" t="s">
        <v>185</v>
      </c>
      <c r="G88" s="37" t="s">
        <v>185</v>
      </c>
      <c r="H88" s="77" t="s">
        <v>292</v>
      </c>
      <c r="I88" s="46"/>
      <c r="J88" s="86" t="s">
        <v>586</v>
      </c>
      <c r="K88" s="79" t="s">
        <v>477</v>
      </c>
      <c r="L88" s="46"/>
      <c r="M88" s="46"/>
      <c r="N88" s="46"/>
      <c r="O88" s="46"/>
      <c r="P88" s="46"/>
      <c r="Q88" s="46"/>
    </row>
    <row r="89" spans="1:17" ht="129.6" x14ac:dyDescent="0.3">
      <c r="A89" s="65"/>
      <c r="B89" s="32" t="s">
        <v>700</v>
      </c>
      <c r="C89" s="133"/>
      <c r="D89" s="136" t="s">
        <v>782</v>
      </c>
      <c r="E89" s="135"/>
      <c r="F89" s="68" t="s">
        <v>186</v>
      </c>
      <c r="G89" s="37" t="s">
        <v>186</v>
      </c>
      <c r="H89" s="77" t="s">
        <v>293</v>
      </c>
      <c r="I89" s="46"/>
      <c r="J89" s="86" t="s">
        <v>587</v>
      </c>
      <c r="K89" s="79" t="s">
        <v>478</v>
      </c>
      <c r="L89" s="46"/>
      <c r="M89" s="46"/>
      <c r="N89" s="46"/>
      <c r="O89" s="46"/>
      <c r="P89" s="46"/>
      <c r="Q89" s="46"/>
    </row>
    <row r="90" spans="1:17" ht="115.2" x14ac:dyDescent="0.3">
      <c r="A90" s="65"/>
      <c r="B90" s="32" t="s">
        <v>700</v>
      </c>
      <c r="C90" s="133"/>
      <c r="D90" s="136" t="s">
        <v>783</v>
      </c>
      <c r="E90" s="135"/>
      <c r="F90" s="68" t="s">
        <v>187</v>
      </c>
      <c r="G90" s="37" t="s">
        <v>187</v>
      </c>
      <c r="H90" s="77" t="s">
        <v>294</v>
      </c>
      <c r="I90" s="46"/>
      <c r="J90" s="86" t="s">
        <v>588</v>
      </c>
      <c r="K90" s="79" t="s">
        <v>479</v>
      </c>
      <c r="L90" s="46"/>
      <c r="M90" s="46"/>
      <c r="N90" s="46"/>
      <c r="O90" s="46"/>
      <c r="P90" s="46"/>
      <c r="Q90" s="46"/>
    </row>
    <row r="91" spans="1:17" ht="129.6" x14ac:dyDescent="0.3">
      <c r="A91" s="65"/>
      <c r="B91" s="32" t="s">
        <v>700</v>
      </c>
      <c r="C91" s="133"/>
      <c r="D91" s="136" t="s">
        <v>784</v>
      </c>
      <c r="E91" s="135"/>
      <c r="F91" s="68" t="s">
        <v>188</v>
      </c>
      <c r="G91" s="37" t="s">
        <v>188</v>
      </c>
      <c r="H91" s="77" t="s">
        <v>295</v>
      </c>
      <c r="I91" s="46"/>
      <c r="J91" s="86" t="s">
        <v>589</v>
      </c>
      <c r="K91" s="79" t="s">
        <v>480</v>
      </c>
      <c r="L91" s="46"/>
      <c r="M91" s="46"/>
      <c r="N91" s="46"/>
      <c r="O91" s="46"/>
      <c r="P91" s="46"/>
      <c r="Q91" s="46"/>
    </row>
    <row r="92" spans="1:17" ht="115.2" x14ac:dyDescent="0.3">
      <c r="A92" s="65"/>
      <c r="B92" s="32" t="s">
        <v>700</v>
      </c>
      <c r="C92" s="133"/>
      <c r="D92" s="136" t="s">
        <v>340</v>
      </c>
      <c r="E92" s="135"/>
      <c r="F92" s="68" t="s">
        <v>189</v>
      </c>
      <c r="G92" s="37" t="s">
        <v>189</v>
      </c>
      <c r="H92" s="77" t="s">
        <v>296</v>
      </c>
      <c r="I92" s="46"/>
      <c r="J92" s="86" t="s">
        <v>590</v>
      </c>
      <c r="K92" s="79" t="s">
        <v>481</v>
      </c>
      <c r="L92" s="46"/>
      <c r="M92" s="46"/>
      <c r="N92" s="46"/>
      <c r="O92" s="46"/>
      <c r="P92" s="46"/>
      <c r="Q92" s="46"/>
    </row>
    <row r="93" spans="1:17" ht="115.2" x14ac:dyDescent="0.3">
      <c r="A93" s="65"/>
      <c r="B93" s="32" t="s">
        <v>700</v>
      </c>
      <c r="C93" s="133"/>
      <c r="D93" s="136" t="s">
        <v>341</v>
      </c>
      <c r="E93" s="135"/>
      <c r="F93" s="68" t="s">
        <v>190</v>
      </c>
      <c r="G93" s="37" t="s">
        <v>190</v>
      </c>
      <c r="H93" s="77" t="s">
        <v>297</v>
      </c>
      <c r="I93" s="46"/>
      <c r="J93" s="86" t="s">
        <v>591</v>
      </c>
      <c r="K93" s="79" t="s">
        <v>482</v>
      </c>
      <c r="L93" s="46"/>
      <c r="M93" s="46"/>
      <c r="N93" s="46"/>
      <c r="O93" s="46"/>
      <c r="P93" s="46"/>
      <c r="Q93" s="46"/>
    </row>
    <row r="94" spans="1:17" ht="115.2" x14ac:dyDescent="0.3">
      <c r="A94" s="65"/>
      <c r="B94" s="32" t="s">
        <v>700</v>
      </c>
      <c r="C94" s="133"/>
      <c r="D94" s="136" t="s">
        <v>785</v>
      </c>
      <c r="E94" s="135"/>
      <c r="F94" s="68" t="s">
        <v>191</v>
      </c>
      <c r="G94" s="37" t="s">
        <v>191</v>
      </c>
      <c r="H94" s="77" t="s">
        <v>298</v>
      </c>
      <c r="I94" s="46"/>
      <c r="J94" s="86" t="s">
        <v>592</v>
      </c>
      <c r="K94" s="79" t="s">
        <v>483</v>
      </c>
      <c r="L94" s="46"/>
      <c r="M94" s="46"/>
      <c r="N94" s="46"/>
      <c r="O94" s="46"/>
      <c r="P94" s="46"/>
      <c r="Q94" s="46"/>
    </row>
    <row r="95" spans="1:17" ht="129.6" x14ac:dyDescent="0.3">
      <c r="A95" s="65"/>
      <c r="B95" s="32" t="s">
        <v>700</v>
      </c>
      <c r="C95" s="133"/>
      <c r="D95" s="136" t="s">
        <v>786</v>
      </c>
      <c r="E95" s="135"/>
      <c r="F95" s="68" t="s">
        <v>192</v>
      </c>
      <c r="G95" s="37" t="s">
        <v>192</v>
      </c>
      <c r="H95" s="77" t="s">
        <v>299</v>
      </c>
      <c r="I95" s="46"/>
      <c r="J95" s="86" t="s">
        <v>593</v>
      </c>
      <c r="K95" s="79" t="s">
        <v>484</v>
      </c>
      <c r="L95" s="46"/>
      <c r="M95" s="46"/>
      <c r="N95" s="46"/>
      <c r="O95" s="46"/>
      <c r="P95" s="46"/>
      <c r="Q95" s="46"/>
    </row>
    <row r="96" spans="1:17" ht="129.6" x14ac:dyDescent="0.3">
      <c r="A96" s="65"/>
      <c r="B96" s="32" t="s">
        <v>700</v>
      </c>
      <c r="C96" s="133"/>
      <c r="D96" s="136" t="s">
        <v>342</v>
      </c>
      <c r="E96" s="135"/>
      <c r="F96" s="68" t="s">
        <v>193</v>
      </c>
      <c r="G96" s="37" t="s">
        <v>193</v>
      </c>
      <c r="H96" s="77" t="s">
        <v>300</v>
      </c>
      <c r="I96" s="46"/>
      <c r="J96" s="86" t="s">
        <v>594</v>
      </c>
      <c r="K96" s="79" t="s">
        <v>485</v>
      </c>
      <c r="L96" s="46"/>
      <c r="M96" s="46"/>
      <c r="N96" s="46"/>
      <c r="O96" s="46"/>
      <c r="P96" s="46"/>
      <c r="Q96" s="46"/>
    </row>
    <row r="97" spans="1:17" ht="129.6" x14ac:dyDescent="0.3">
      <c r="A97" s="65"/>
      <c r="B97" s="32" t="s">
        <v>700</v>
      </c>
      <c r="C97" s="133"/>
      <c r="D97" s="136" t="s">
        <v>787</v>
      </c>
      <c r="E97" s="135"/>
      <c r="F97" s="68" t="s">
        <v>194</v>
      </c>
      <c r="G97" s="37" t="s">
        <v>194</v>
      </c>
      <c r="H97" s="77" t="s">
        <v>301</v>
      </c>
      <c r="I97" s="46"/>
      <c r="J97" s="86" t="s">
        <v>595</v>
      </c>
      <c r="K97" s="79" t="s">
        <v>486</v>
      </c>
      <c r="L97" s="46"/>
      <c r="M97" s="46"/>
      <c r="N97" s="46"/>
      <c r="O97" s="46"/>
      <c r="P97" s="46"/>
      <c r="Q97" s="46"/>
    </row>
    <row r="98" spans="1:17" ht="129.6" x14ac:dyDescent="0.3">
      <c r="A98" s="65"/>
      <c r="B98" s="32" t="s">
        <v>700</v>
      </c>
      <c r="C98" s="133"/>
      <c r="D98" s="138" t="s">
        <v>788</v>
      </c>
      <c r="E98" s="135"/>
      <c r="F98" s="68" t="s">
        <v>195</v>
      </c>
      <c r="G98" s="37" t="s">
        <v>195</v>
      </c>
      <c r="H98" s="77" t="s">
        <v>302</v>
      </c>
      <c r="I98" s="46"/>
      <c r="J98" s="86" t="s">
        <v>596</v>
      </c>
      <c r="K98" s="80" t="s">
        <v>487</v>
      </c>
      <c r="L98" s="46"/>
      <c r="M98" s="46"/>
      <c r="N98" s="46"/>
      <c r="O98" s="46"/>
      <c r="P98" s="46"/>
      <c r="Q98" s="46"/>
    </row>
    <row r="99" spans="1:17" ht="129.6" x14ac:dyDescent="0.3">
      <c r="A99" s="65"/>
      <c r="B99" s="32" t="s">
        <v>700</v>
      </c>
      <c r="C99" s="133"/>
      <c r="D99" s="136" t="s">
        <v>789</v>
      </c>
      <c r="E99" s="135"/>
      <c r="F99" s="68" t="s">
        <v>196</v>
      </c>
      <c r="G99" s="37" t="s">
        <v>196</v>
      </c>
      <c r="H99" s="77" t="s">
        <v>303</v>
      </c>
      <c r="I99" s="46"/>
      <c r="J99" s="86" t="s">
        <v>597</v>
      </c>
      <c r="K99" s="79" t="s">
        <v>488</v>
      </c>
      <c r="L99" s="46"/>
      <c r="M99" s="46"/>
      <c r="N99" s="46"/>
      <c r="O99" s="46"/>
      <c r="P99" s="46"/>
      <c r="Q99" s="46"/>
    </row>
    <row r="100" spans="1:17" ht="129.6" x14ac:dyDescent="0.3">
      <c r="A100" s="65"/>
      <c r="B100" s="32" t="s">
        <v>700</v>
      </c>
      <c r="C100" s="133"/>
      <c r="D100" s="136" t="s">
        <v>790</v>
      </c>
      <c r="E100" s="135"/>
      <c r="F100" s="68" t="s">
        <v>197</v>
      </c>
      <c r="G100" s="37" t="s">
        <v>197</v>
      </c>
      <c r="H100" s="77" t="s">
        <v>304</v>
      </c>
      <c r="I100" s="46"/>
      <c r="J100" s="86" t="s">
        <v>598</v>
      </c>
      <c r="K100" s="79" t="s">
        <v>489</v>
      </c>
      <c r="L100" s="46"/>
      <c r="M100" s="46"/>
      <c r="N100" s="46"/>
      <c r="O100" s="46"/>
      <c r="P100" s="46"/>
      <c r="Q100" s="46"/>
    </row>
    <row r="101" spans="1:17" ht="129.6" x14ac:dyDescent="0.3">
      <c r="A101" s="65"/>
      <c r="B101" s="32" t="s">
        <v>700</v>
      </c>
      <c r="C101" s="133"/>
      <c r="D101" s="136" t="s">
        <v>791</v>
      </c>
      <c r="E101" s="135"/>
      <c r="F101" s="68" t="s">
        <v>198</v>
      </c>
      <c r="G101" s="37" t="s">
        <v>198</v>
      </c>
      <c r="H101" s="77" t="s">
        <v>305</v>
      </c>
      <c r="I101" s="46"/>
      <c r="J101" s="86" t="s">
        <v>599</v>
      </c>
      <c r="K101" s="79" t="s">
        <v>490</v>
      </c>
      <c r="L101" s="46"/>
      <c r="M101" s="46"/>
      <c r="N101" s="46"/>
      <c r="O101" s="46"/>
      <c r="P101" s="46"/>
      <c r="Q101" s="46"/>
    </row>
    <row r="102" spans="1:17" ht="129.6" x14ac:dyDescent="0.3">
      <c r="A102" s="65"/>
      <c r="B102" s="32" t="s">
        <v>700</v>
      </c>
      <c r="C102" s="133"/>
      <c r="D102" s="136" t="s">
        <v>792</v>
      </c>
      <c r="E102" s="135"/>
      <c r="F102" s="68" t="s">
        <v>199</v>
      </c>
      <c r="G102" s="37" t="s">
        <v>199</v>
      </c>
      <c r="H102" s="77" t="s">
        <v>306</v>
      </c>
      <c r="I102" s="46"/>
      <c r="J102" s="86" t="s">
        <v>600</v>
      </c>
      <c r="K102" s="79" t="s">
        <v>491</v>
      </c>
      <c r="L102" s="46"/>
      <c r="M102" s="46"/>
      <c r="N102" s="46"/>
      <c r="O102" s="46"/>
      <c r="P102" s="46"/>
      <c r="Q102" s="46"/>
    </row>
    <row r="103" spans="1:17" ht="129.6" x14ac:dyDescent="0.3">
      <c r="A103" s="65"/>
      <c r="B103" s="32" t="s">
        <v>700</v>
      </c>
      <c r="C103" s="133"/>
      <c r="D103" s="136" t="s">
        <v>793</v>
      </c>
      <c r="E103" s="135"/>
      <c r="F103" s="68" t="s">
        <v>200</v>
      </c>
      <c r="G103" s="37" t="s">
        <v>200</v>
      </c>
      <c r="H103" s="77" t="s">
        <v>307</v>
      </c>
      <c r="I103" s="46"/>
      <c r="J103" s="86" t="s">
        <v>601</v>
      </c>
      <c r="K103" s="79" t="s">
        <v>492</v>
      </c>
      <c r="L103" s="46"/>
      <c r="M103" s="46"/>
      <c r="N103" s="46"/>
      <c r="O103" s="46"/>
      <c r="P103" s="46"/>
      <c r="Q103" s="46"/>
    </row>
    <row r="104" spans="1:17" ht="129.6" x14ac:dyDescent="0.3">
      <c r="A104" s="65"/>
      <c r="B104" s="32" t="s">
        <v>700</v>
      </c>
      <c r="C104" s="133"/>
      <c r="D104" s="136" t="s">
        <v>343</v>
      </c>
      <c r="E104" s="135"/>
      <c r="F104" s="68" t="s">
        <v>201</v>
      </c>
      <c r="G104" s="37" t="s">
        <v>201</v>
      </c>
      <c r="H104" s="77" t="s">
        <v>308</v>
      </c>
      <c r="I104" s="46"/>
      <c r="J104" s="86" t="s">
        <v>602</v>
      </c>
      <c r="K104" s="79" t="s">
        <v>493</v>
      </c>
      <c r="L104" s="46"/>
      <c r="M104" s="46"/>
      <c r="N104" s="46"/>
      <c r="O104" s="46"/>
      <c r="P104" s="46"/>
      <c r="Q104" s="46"/>
    </row>
    <row r="105" spans="1:17" ht="129.6" x14ac:dyDescent="0.3">
      <c r="A105" s="65"/>
      <c r="B105" s="32" t="s">
        <v>700</v>
      </c>
      <c r="C105" s="133"/>
      <c r="D105" s="136" t="s">
        <v>794</v>
      </c>
      <c r="E105" s="135"/>
      <c r="F105" s="68" t="s">
        <v>202</v>
      </c>
      <c r="G105" s="37" t="s">
        <v>202</v>
      </c>
      <c r="H105" s="77" t="s">
        <v>309</v>
      </c>
      <c r="I105" s="46"/>
      <c r="J105" s="86" t="s">
        <v>603</v>
      </c>
      <c r="K105" s="79" t="s">
        <v>494</v>
      </c>
      <c r="L105" s="46"/>
      <c r="M105" s="46"/>
      <c r="N105" s="46"/>
      <c r="O105" s="46"/>
      <c r="P105" s="46"/>
      <c r="Q105" s="46"/>
    </row>
    <row r="106" spans="1:17" ht="144" x14ac:dyDescent="0.3">
      <c r="A106" s="65"/>
      <c r="B106" s="32" t="s">
        <v>700</v>
      </c>
      <c r="C106" s="133"/>
      <c r="D106" s="136" t="s">
        <v>795</v>
      </c>
      <c r="E106" s="135"/>
      <c r="F106" s="68" t="s">
        <v>203</v>
      </c>
      <c r="G106" s="37" t="s">
        <v>203</v>
      </c>
      <c r="H106" s="77" t="s">
        <v>310</v>
      </c>
      <c r="I106" s="46"/>
      <c r="J106" s="86" t="s">
        <v>604</v>
      </c>
      <c r="K106" s="79" t="s">
        <v>495</v>
      </c>
      <c r="L106" s="46"/>
      <c r="M106" s="46"/>
      <c r="N106" s="46"/>
      <c r="O106" s="46"/>
      <c r="P106" s="46"/>
      <c r="Q106" s="46"/>
    </row>
    <row r="107" spans="1:17" ht="129.6" x14ac:dyDescent="0.3">
      <c r="A107" s="65"/>
      <c r="B107" s="32" t="s">
        <v>700</v>
      </c>
      <c r="C107" s="133"/>
      <c r="D107" s="136" t="s">
        <v>344</v>
      </c>
      <c r="E107" s="135"/>
      <c r="F107" s="68" t="s">
        <v>204</v>
      </c>
      <c r="G107" s="37" t="s">
        <v>204</v>
      </c>
      <c r="H107" s="77" t="s">
        <v>311</v>
      </c>
      <c r="I107" s="46"/>
      <c r="J107" s="86" t="s">
        <v>605</v>
      </c>
      <c r="K107" s="79" t="s">
        <v>496</v>
      </c>
      <c r="L107" s="46"/>
      <c r="M107" s="46"/>
      <c r="N107" s="46"/>
      <c r="O107" s="46"/>
      <c r="P107" s="46"/>
      <c r="Q107" s="46"/>
    </row>
    <row r="108" spans="1:17" ht="129.6" x14ac:dyDescent="0.3">
      <c r="A108" s="65"/>
      <c r="B108" s="32" t="s">
        <v>700</v>
      </c>
      <c r="C108" s="133"/>
      <c r="D108" s="138" t="s">
        <v>335</v>
      </c>
      <c r="E108" s="135"/>
      <c r="F108" s="68" t="s">
        <v>205</v>
      </c>
      <c r="G108" s="37" t="s">
        <v>205</v>
      </c>
      <c r="H108" s="77" t="s">
        <v>312</v>
      </c>
      <c r="I108" s="46"/>
      <c r="J108" s="86" t="s">
        <v>606</v>
      </c>
      <c r="K108" s="80" t="s">
        <v>465</v>
      </c>
      <c r="L108" s="46"/>
      <c r="M108" s="46"/>
      <c r="N108" s="46"/>
      <c r="O108" s="46"/>
      <c r="P108" s="46"/>
      <c r="Q108" s="46"/>
    </row>
    <row r="109" spans="1:17" ht="115.2" x14ac:dyDescent="0.3">
      <c r="A109" s="65"/>
      <c r="B109" s="32" t="s">
        <v>700</v>
      </c>
      <c r="C109" s="133"/>
      <c r="D109" s="136" t="s">
        <v>345</v>
      </c>
      <c r="E109" s="135"/>
      <c r="F109" s="68" t="s">
        <v>206</v>
      </c>
      <c r="G109" s="37" t="s">
        <v>206</v>
      </c>
      <c r="H109" s="77" t="s">
        <v>313</v>
      </c>
      <c r="I109" s="46"/>
      <c r="J109" s="86" t="s">
        <v>607</v>
      </c>
      <c r="K109" s="82" t="s">
        <v>497</v>
      </c>
      <c r="L109" s="46"/>
      <c r="M109" s="46"/>
      <c r="N109" s="46"/>
      <c r="O109" s="46"/>
      <c r="P109" s="46"/>
      <c r="Q109" s="46"/>
    </row>
  </sheetData>
  <autoFilter ref="A1:Q10" xr:uid="{D6FF6ECE-39C0-4B76-8067-CC1A05761090}"/>
  <mergeCells count="12">
    <mergeCell ref="K1:K2"/>
    <mergeCell ref="L1:L2"/>
    <mergeCell ref="A1:A2"/>
    <mergeCell ref="G1:G2"/>
    <mergeCell ref="F1:F2"/>
    <mergeCell ref="I1:I2"/>
    <mergeCell ref="J1:J2"/>
    <mergeCell ref="M1:M2"/>
    <mergeCell ref="N1:N2"/>
    <mergeCell ref="O1:O2"/>
    <mergeCell ref="P1:P2"/>
    <mergeCell ref="Q1:Q2"/>
  </mergeCells>
  <phoneticPr fontId="5" type="noConversion"/>
  <conditionalFormatting sqref="N1:N1048576">
    <cfRule type="cellIs" dxfId="59" priority="20" operator="equal">
      <formula>"Not Completed"</formula>
    </cfRule>
    <cfRule type="cellIs" dxfId="58" priority="21" operator="equal">
      <formula>"Blocked"</formula>
    </cfRule>
    <cfRule type="cellIs" dxfId="57" priority="22" operator="equal">
      <formula>"Dropped"</formula>
    </cfRule>
    <cfRule type="cellIs" dxfId="56" priority="23" operator="equal">
      <formula>"Failed"</formula>
    </cfRule>
    <cfRule type="cellIs" dxfId="55" priority="24" operator="equal">
      <formula>"Passed"</formula>
    </cfRule>
  </conditionalFormatting>
  <conditionalFormatting sqref="N3:N10">
    <cfRule type="cellIs" dxfId="54" priority="43" operator="equal">
      <formula>"Not Completed"</formula>
    </cfRule>
    <cfRule type="cellIs" dxfId="53" priority="44" operator="equal">
      <formula>"Dropped"</formula>
    </cfRule>
    <cfRule type="cellIs" priority="45" operator="equal">
      <formula>"Dropped"</formula>
    </cfRule>
    <cfRule type="cellIs" dxfId="52" priority="46" operator="equal">
      <formula>"Failed"</formula>
    </cfRule>
    <cfRule type="cellIs" dxfId="51" priority="47" operator="equal">
      <formula>"Passed"</formula>
    </cfRule>
    <cfRule type="cellIs" priority="48" operator="equal">
      <formula>"Passed"</formula>
    </cfRule>
    <cfRule type="cellIs" dxfId="50" priority="49" operator="equal">
      <formula>"Not Started"</formula>
    </cfRule>
    <cfRule type="cellIs" priority="50" operator="equal">
      <formula>"Not Started"</formula>
    </cfRule>
    <cfRule type="cellIs" dxfId="49" priority="51" operator="equal">
      <formula>"Not Started"</formula>
    </cfRule>
    <cfRule type="cellIs" dxfId="48" priority="52" operator="equal">
      <formula>"Not Started"</formula>
    </cfRule>
    <cfRule type="cellIs" dxfId="47" priority="53" operator="equal">
      <formula>"Not Completed"</formula>
    </cfRule>
    <cfRule type="cellIs" dxfId="46" priority="54" operator="equal">
      <formula>"Not Complete"</formula>
    </cfRule>
    <cfRule type="cellIs" dxfId="45" priority="55" operator="equal">
      <formula>"Not Completed"</formula>
    </cfRule>
    <cfRule type="cellIs" dxfId="44" priority="56" operator="equal">
      <formula>"Not Started"</formula>
    </cfRule>
    <cfRule type="cellIs" dxfId="43" priority="57" operator="equal">
      <formula>"Dropped"</formula>
    </cfRule>
    <cfRule type="cellIs" dxfId="42" priority="58" operator="equal">
      <formula>"Failed"</formula>
    </cfRule>
    <cfRule type="colorScale" priority="59">
      <colorScale>
        <cfvo type="min"/>
        <cfvo type="max"/>
        <color rgb="FFF26E6E"/>
        <color rgb="FFFFEF9C"/>
      </colorScale>
    </cfRule>
    <cfRule type="cellIs" dxfId="41" priority="60" operator="equal">
      <formula>"Failed"</formula>
    </cfRule>
    <cfRule type="cellIs" dxfId="40" priority="61" operator="equal">
      <formula>"Passed"</formula>
    </cfRule>
  </conditionalFormatting>
  <dataValidations count="1">
    <dataValidation type="list" allowBlank="1" showInputMessage="1" showErrorMessage="1" sqref="N3:N10" xr:uid="{1A3D2D20-076F-4BBA-9E79-109C4CD04668}">
      <formula1>"Passed, Failed, Dropped, Not Started, Not Completed"</formula1>
    </dataValidation>
  </dataValidations>
  <pageMargins left="0.7" right="0.7" top="0.75" bottom="0.75" header="0.3" footer="0.3"/>
  <pageSetup orientation="portrait" r:id="rId1"/>
  <headerFooter>
    <oddHeader>&amp;L&amp;"Aptos"&amp;12&amp;K008000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AD71-01CF-49EB-BFBA-287AA8E8CCA9}">
  <dimension ref="A1:P39"/>
  <sheetViews>
    <sheetView zoomScale="70" zoomScaleNormal="70" workbookViewId="0">
      <pane xSplit="8" ySplit="2" topLeftCell="I6" activePane="bottomRight" state="frozen"/>
      <selection activeCell="B7" sqref="B7"/>
      <selection pane="topRight" activeCell="B7" sqref="B7"/>
      <selection pane="bottomLeft" activeCell="B7" sqref="B7"/>
      <selection pane="bottomRight" activeCell="G6" sqref="G6"/>
    </sheetView>
  </sheetViews>
  <sheetFormatPr defaultRowHeight="14.4" x14ac:dyDescent="0.3"/>
  <cols>
    <col min="1" max="1" width="12.6640625" style="14" bestFit="1" customWidth="1"/>
    <col min="2" max="3" width="25.109375" style="14" customWidth="1"/>
    <col min="4" max="4" width="23.88671875" style="14" bestFit="1" customWidth="1"/>
    <col min="5" max="5" width="25.109375" style="14" customWidth="1"/>
    <col min="6" max="6" width="58.109375" style="14" customWidth="1"/>
    <col min="7" max="7" width="29.44140625" style="14" customWidth="1"/>
    <col min="8" max="8" width="17" customWidth="1"/>
    <col min="9" max="9" width="39.109375" customWidth="1"/>
    <col min="10" max="10" width="53.5546875" style="81" customWidth="1"/>
    <col min="11" max="11" width="17.109375" customWidth="1"/>
    <col min="12" max="12" width="13.44140625" customWidth="1"/>
    <col min="13" max="13" width="26.5546875" customWidth="1"/>
    <col min="14" max="14" width="14.44140625" customWidth="1"/>
    <col min="15" max="15" width="11.109375" customWidth="1"/>
    <col min="16" max="16" width="36.88671875" customWidth="1"/>
  </cols>
  <sheetData>
    <row r="1" spans="1:16" s="30" customFormat="1" ht="59.4" customHeight="1" thickBot="1" x14ac:dyDescent="0.35">
      <c r="A1" s="239" t="s">
        <v>85</v>
      </c>
      <c r="B1" s="31" t="s">
        <v>83</v>
      </c>
      <c r="C1" s="31" t="s">
        <v>98</v>
      </c>
      <c r="D1" s="31" t="s">
        <v>608</v>
      </c>
      <c r="E1" s="31" t="s">
        <v>86</v>
      </c>
      <c r="F1" s="241" t="s">
        <v>1</v>
      </c>
      <c r="G1" s="31" t="s">
        <v>87</v>
      </c>
      <c r="H1" s="243" t="s">
        <v>84</v>
      </c>
      <c r="I1" s="245" t="s">
        <v>2</v>
      </c>
      <c r="J1" s="235" t="s">
        <v>3</v>
      </c>
      <c r="K1" s="237" t="s">
        <v>4</v>
      </c>
      <c r="L1" s="233" t="s">
        <v>5</v>
      </c>
      <c r="M1" s="233" t="s">
        <v>6</v>
      </c>
      <c r="N1" s="233" t="s">
        <v>7</v>
      </c>
      <c r="O1" s="233" t="s">
        <v>8</v>
      </c>
      <c r="P1" s="233" t="s">
        <v>9</v>
      </c>
    </row>
    <row r="2" spans="1:16" ht="14.4" hidden="1" customHeight="1" thickBot="1" x14ac:dyDescent="0.35">
      <c r="A2" s="240"/>
      <c r="B2" s="33"/>
      <c r="C2" s="58"/>
      <c r="D2" s="58"/>
      <c r="E2" s="58"/>
      <c r="F2" s="242"/>
      <c r="G2" s="33"/>
      <c r="H2" s="244"/>
      <c r="I2" s="246"/>
      <c r="J2" s="236"/>
      <c r="K2" s="238"/>
      <c r="L2" s="234"/>
      <c r="M2" s="234"/>
      <c r="N2" s="234"/>
      <c r="O2" s="234"/>
      <c r="P2" s="234"/>
    </row>
    <row r="3" spans="1:16" s="1" customFormat="1" ht="129.6" x14ac:dyDescent="0.3">
      <c r="A3" s="34"/>
      <c r="B3" s="32" t="s">
        <v>699</v>
      </c>
      <c r="C3" s="32"/>
      <c r="D3" s="91" t="s">
        <v>315</v>
      </c>
      <c r="E3" s="32"/>
      <c r="F3" s="37" t="s">
        <v>101</v>
      </c>
      <c r="G3" s="96" t="s">
        <v>617</v>
      </c>
      <c r="H3" s="99"/>
      <c r="I3" s="103" t="s">
        <v>654</v>
      </c>
      <c r="J3" s="79" t="s">
        <v>395</v>
      </c>
      <c r="K3" s="39"/>
      <c r="L3" s="40"/>
      <c r="M3" s="40" t="s">
        <v>10</v>
      </c>
      <c r="N3" s="41"/>
      <c r="O3" s="42"/>
      <c r="P3" s="42"/>
    </row>
    <row r="4" spans="1:16" s="1" customFormat="1" ht="129.6" x14ac:dyDescent="0.3">
      <c r="A4" s="34"/>
      <c r="B4" s="32" t="s">
        <v>699</v>
      </c>
      <c r="C4" s="32"/>
      <c r="D4" s="91" t="s">
        <v>320</v>
      </c>
      <c r="E4" s="32"/>
      <c r="F4" s="37" t="s">
        <v>106</v>
      </c>
      <c r="G4" s="96" t="s">
        <v>618</v>
      </c>
      <c r="H4" s="99"/>
      <c r="I4" s="103" t="s">
        <v>655</v>
      </c>
      <c r="J4" s="79" t="s">
        <v>401</v>
      </c>
      <c r="K4" s="39"/>
      <c r="L4" s="39"/>
      <c r="M4" s="40" t="s">
        <v>10</v>
      </c>
      <c r="N4" s="39"/>
      <c r="O4" s="39"/>
      <c r="P4" s="42"/>
    </row>
    <row r="5" spans="1:16" s="1" customFormat="1" ht="129.6" x14ac:dyDescent="0.3">
      <c r="A5" s="34"/>
      <c r="B5" s="32" t="s">
        <v>699</v>
      </c>
      <c r="C5" s="32"/>
      <c r="D5" s="91" t="s">
        <v>321</v>
      </c>
      <c r="E5" s="32"/>
      <c r="F5" s="37" t="s">
        <v>109</v>
      </c>
      <c r="G5" s="96" t="s">
        <v>619</v>
      </c>
      <c r="H5" s="99"/>
      <c r="I5" s="103" t="s">
        <v>656</v>
      </c>
      <c r="J5" s="79" t="s">
        <v>402</v>
      </c>
      <c r="K5" s="39"/>
      <c r="L5" s="39"/>
      <c r="M5" s="40" t="s">
        <v>10</v>
      </c>
      <c r="N5" s="39"/>
      <c r="O5" s="39"/>
      <c r="P5" s="42"/>
    </row>
    <row r="6" spans="1:16" s="1" customFormat="1" ht="57" customHeight="1" x14ac:dyDescent="0.3">
      <c r="A6" s="34"/>
      <c r="B6" s="32" t="s">
        <v>699</v>
      </c>
      <c r="C6" s="32"/>
      <c r="D6" s="91" t="s">
        <v>322</v>
      </c>
      <c r="E6" s="32"/>
      <c r="F6" s="37" t="s">
        <v>110</v>
      </c>
      <c r="G6" s="96" t="s">
        <v>620</v>
      </c>
      <c r="H6" s="99"/>
      <c r="I6" s="103" t="s">
        <v>657</v>
      </c>
      <c r="J6" s="80" t="s">
        <v>403</v>
      </c>
      <c r="K6" s="39"/>
      <c r="L6" s="39"/>
      <c r="M6" s="40" t="s">
        <v>10</v>
      </c>
      <c r="N6" s="39"/>
      <c r="O6" s="39"/>
      <c r="P6" s="42"/>
    </row>
    <row r="7" spans="1:16" s="1" customFormat="1" ht="71.25" customHeight="1" x14ac:dyDescent="0.3">
      <c r="A7" s="34"/>
      <c r="B7" s="32" t="s">
        <v>699</v>
      </c>
      <c r="C7" s="32"/>
      <c r="D7" s="91" t="s">
        <v>323</v>
      </c>
      <c r="E7" s="32"/>
      <c r="F7" s="37" t="s">
        <v>111</v>
      </c>
      <c r="G7" s="96" t="s">
        <v>621</v>
      </c>
      <c r="H7" s="100"/>
      <c r="I7" s="103" t="s">
        <v>658</v>
      </c>
      <c r="J7" s="80" t="s">
        <v>404</v>
      </c>
      <c r="K7" s="39"/>
      <c r="L7" s="39"/>
      <c r="M7" s="40" t="s">
        <v>10</v>
      </c>
      <c r="N7" s="39"/>
      <c r="O7" s="39"/>
      <c r="P7" s="42"/>
    </row>
    <row r="8" spans="1:16" s="1" customFormat="1" ht="129.6" x14ac:dyDescent="0.3">
      <c r="A8" s="34"/>
      <c r="B8" s="32" t="s">
        <v>699</v>
      </c>
      <c r="C8" s="32"/>
      <c r="D8" s="91" t="s">
        <v>324</v>
      </c>
      <c r="E8" s="32"/>
      <c r="F8" s="37" t="s">
        <v>113</v>
      </c>
      <c r="G8" s="96" t="s">
        <v>622</v>
      </c>
      <c r="H8" s="100"/>
      <c r="I8" s="103" t="s">
        <v>659</v>
      </c>
      <c r="J8" s="80" t="s">
        <v>406</v>
      </c>
      <c r="K8" s="39"/>
      <c r="L8" s="39"/>
      <c r="M8" s="40" t="s">
        <v>10</v>
      </c>
      <c r="N8" s="39"/>
      <c r="O8" s="39"/>
      <c r="P8" s="42"/>
    </row>
    <row r="9" spans="1:16" s="1" customFormat="1" ht="46.35" customHeight="1" x14ac:dyDescent="0.3">
      <c r="A9" s="34"/>
      <c r="B9" s="32" t="s">
        <v>699</v>
      </c>
      <c r="C9" s="32"/>
      <c r="D9" s="91" t="s">
        <v>325</v>
      </c>
      <c r="E9" s="32"/>
      <c r="F9" s="37" t="s">
        <v>114</v>
      </c>
      <c r="G9" s="96" t="s">
        <v>623</v>
      </c>
      <c r="H9" s="100"/>
      <c r="I9" s="103" t="s">
        <v>660</v>
      </c>
      <c r="J9" s="79" t="s">
        <v>407</v>
      </c>
      <c r="K9" s="39"/>
      <c r="L9" s="39"/>
      <c r="M9" s="40" t="s">
        <v>10</v>
      </c>
      <c r="N9" s="39"/>
      <c r="O9" s="39"/>
      <c r="P9" s="42"/>
    </row>
    <row r="10" spans="1:16" ht="129.6" x14ac:dyDescent="0.3">
      <c r="A10" s="59"/>
      <c r="B10" s="32" t="s">
        <v>699</v>
      </c>
      <c r="C10" s="60"/>
      <c r="D10" s="91" t="s">
        <v>326</v>
      </c>
      <c r="E10" s="60"/>
      <c r="F10" s="37" t="s">
        <v>115</v>
      </c>
      <c r="G10" s="97" t="s">
        <v>624</v>
      </c>
      <c r="H10" s="101"/>
      <c r="I10" s="103" t="s">
        <v>661</v>
      </c>
      <c r="J10" s="79" t="s">
        <v>408</v>
      </c>
      <c r="K10" s="62"/>
      <c r="L10" s="62"/>
      <c r="M10" s="63" t="s">
        <v>10</v>
      </c>
      <c r="N10" s="62"/>
      <c r="O10" s="62"/>
      <c r="P10" s="64"/>
    </row>
    <row r="11" spans="1:16" ht="129.6" x14ac:dyDescent="0.3">
      <c r="A11" s="65"/>
      <c r="B11" s="32" t="s">
        <v>699</v>
      </c>
      <c r="C11" s="65"/>
      <c r="D11" s="91" t="s">
        <v>317</v>
      </c>
      <c r="E11" s="65"/>
      <c r="F11" s="37" t="s">
        <v>116</v>
      </c>
      <c r="G11" s="98" t="s">
        <v>625</v>
      </c>
      <c r="H11" s="102"/>
      <c r="I11" s="103" t="s">
        <v>662</v>
      </c>
      <c r="J11" s="79" t="s">
        <v>409</v>
      </c>
      <c r="K11" s="46"/>
      <c r="L11" s="46"/>
      <c r="M11" s="46"/>
      <c r="N11" s="46"/>
      <c r="O11" s="46"/>
      <c r="P11" s="46"/>
    </row>
    <row r="12" spans="1:16" ht="129.6" x14ac:dyDescent="0.3">
      <c r="A12" s="65"/>
      <c r="B12" s="32" t="s">
        <v>699</v>
      </c>
      <c r="C12" s="65"/>
      <c r="D12" s="91" t="s">
        <v>327</v>
      </c>
      <c r="E12" s="65"/>
      <c r="F12" s="37" t="s">
        <v>117</v>
      </c>
      <c r="G12" s="98" t="s">
        <v>626</v>
      </c>
      <c r="H12" s="102"/>
      <c r="I12" s="103" t="s">
        <v>663</v>
      </c>
      <c r="J12" s="79" t="s">
        <v>410</v>
      </c>
      <c r="K12" s="46"/>
      <c r="L12" s="46"/>
      <c r="M12" s="46"/>
      <c r="N12" s="46"/>
      <c r="O12" s="46"/>
      <c r="P12" s="46"/>
    </row>
    <row r="13" spans="1:16" ht="129.6" x14ac:dyDescent="0.3">
      <c r="A13" s="65"/>
      <c r="B13" s="32" t="s">
        <v>699</v>
      </c>
      <c r="C13" s="66"/>
      <c r="D13" s="91" t="s">
        <v>328</v>
      </c>
      <c r="E13" s="66"/>
      <c r="F13" s="37" t="s">
        <v>121</v>
      </c>
      <c r="G13" s="98" t="s">
        <v>627</v>
      </c>
      <c r="H13" s="102"/>
      <c r="I13" s="103" t="s">
        <v>664</v>
      </c>
      <c r="J13" s="79" t="s">
        <v>414</v>
      </c>
      <c r="K13" s="46"/>
      <c r="L13" s="46"/>
      <c r="M13" s="46"/>
      <c r="N13" s="46"/>
      <c r="O13" s="46"/>
      <c r="P13" s="46"/>
    </row>
    <row r="14" spans="1:16" ht="129.6" x14ac:dyDescent="0.3">
      <c r="A14" s="65"/>
      <c r="B14" s="32" t="s">
        <v>699</v>
      </c>
      <c r="C14" s="66"/>
      <c r="D14" s="91" t="s">
        <v>329</v>
      </c>
      <c r="E14" s="66"/>
      <c r="F14" s="37" t="s">
        <v>122</v>
      </c>
      <c r="G14" s="98" t="s">
        <v>628</v>
      </c>
      <c r="H14" s="102"/>
      <c r="I14" s="103" t="s">
        <v>665</v>
      </c>
      <c r="J14" s="80" t="s">
        <v>415</v>
      </c>
      <c r="K14" s="46"/>
      <c r="L14" s="46"/>
      <c r="M14" s="46"/>
      <c r="N14" s="46"/>
      <c r="O14" s="46"/>
      <c r="P14" s="46"/>
    </row>
    <row r="15" spans="1:16" ht="129.6" x14ac:dyDescent="0.3">
      <c r="A15" s="65"/>
      <c r="B15" s="32" t="s">
        <v>699</v>
      </c>
      <c r="C15" s="65"/>
      <c r="D15" s="91" t="s">
        <v>330</v>
      </c>
      <c r="E15" s="65"/>
      <c r="F15" s="37" t="s">
        <v>125</v>
      </c>
      <c r="G15" s="98" t="s">
        <v>629</v>
      </c>
      <c r="H15" s="102"/>
      <c r="I15" s="103" t="s">
        <v>666</v>
      </c>
      <c r="J15" s="80" t="s">
        <v>418</v>
      </c>
      <c r="K15" s="46"/>
      <c r="L15" s="46"/>
      <c r="M15" s="46"/>
      <c r="N15" s="46"/>
      <c r="O15" s="46"/>
      <c r="P15" s="46"/>
    </row>
    <row r="16" spans="1:16" ht="129.6" x14ac:dyDescent="0.3">
      <c r="A16" s="65"/>
      <c r="B16" s="32" t="s">
        <v>699</v>
      </c>
      <c r="C16" s="65"/>
      <c r="D16" s="91" t="s">
        <v>331</v>
      </c>
      <c r="E16" s="65"/>
      <c r="F16" s="37" t="s">
        <v>131</v>
      </c>
      <c r="G16" s="98" t="s">
        <v>630</v>
      </c>
      <c r="H16" s="102"/>
      <c r="I16" s="103" t="s">
        <v>667</v>
      </c>
      <c r="J16" s="80" t="s">
        <v>424</v>
      </c>
      <c r="K16" s="46"/>
      <c r="L16" s="46"/>
      <c r="M16" s="46"/>
      <c r="N16" s="46"/>
      <c r="O16" s="46"/>
      <c r="P16" s="46"/>
    </row>
    <row r="17" spans="1:16" ht="129.6" x14ac:dyDescent="0.3">
      <c r="A17" s="65"/>
      <c r="B17" s="32" t="s">
        <v>699</v>
      </c>
      <c r="C17" s="65"/>
      <c r="D17" s="91" t="s">
        <v>332</v>
      </c>
      <c r="E17" s="65"/>
      <c r="F17" s="37" t="s">
        <v>132</v>
      </c>
      <c r="G17" s="98" t="s">
        <v>631</v>
      </c>
      <c r="H17" s="102"/>
      <c r="I17" s="103" t="s">
        <v>668</v>
      </c>
      <c r="J17" s="79" t="s">
        <v>425</v>
      </c>
      <c r="K17" s="46"/>
      <c r="L17" s="46"/>
      <c r="M17" s="46"/>
      <c r="N17" s="46"/>
      <c r="O17" s="46"/>
      <c r="P17" s="46"/>
    </row>
    <row r="18" spans="1:16" ht="129.6" x14ac:dyDescent="0.3">
      <c r="A18" s="65"/>
      <c r="B18" s="32" t="s">
        <v>699</v>
      </c>
      <c r="C18" s="65"/>
      <c r="D18" s="92" t="s">
        <v>351</v>
      </c>
      <c r="E18" s="65"/>
      <c r="F18" s="37" t="s">
        <v>609</v>
      </c>
      <c r="G18" s="98" t="s">
        <v>632</v>
      </c>
      <c r="H18" s="102"/>
      <c r="I18" s="103" t="s">
        <v>669</v>
      </c>
      <c r="J18" s="79" t="s">
        <v>691</v>
      </c>
      <c r="K18" s="46"/>
      <c r="L18" s="46"/>
      <c r="M18" s="46"/>
      <c r="N18" s="46"/>
      <c r="O18" s="46"/>
      <c r="P18" s="46"/>
    </row>
    <row r="19" spans="1:16" ht="129.6" x14ac:dyDescent="0.3">
      <c r="A19" s="65"/>
      <c r="B19" s="32" t="s">
        <v>699</v>
      </c>
      <c r="C19" s="65"/>
      <c r="D19" s="91" t="s">
        <v>333</v>
      </c>
      <c r="E19" s="65"/>
      <c r="F19" s="37" t="s">
        <v>157</v>
      </c>
      <c r="G19" s="98" t="s">
        <v>633</v>
      </c>
      <c r="H19" s="102"/>
      <c r="I19" s="103" t="s">
        <v>670</v>
      </c>
      <c r="J19" s="79" t="s">
        <v>450</v>
      </c>
      <c r="K19" s="46"/>
      <c r="L19" s="46"/>
      <c r="M19" s="46"/>
      <c r="N19" s="46"/>
      <c r="O19" s="46"/>
      <c r="P19" s="46"/>
    </row>
    <row r="20" spans="1:16" ht="129.6" x14ac:dyDescent="0.3">
      <c r="A20" s="65"/>
      <c r="B20" s="32" t="s">
        <v>699</v>
      </c>
      <c r="C20" s="65"/>
      <c r="D20" s="91" t="s">
        <v>334</v>
      </c>
      <c r="E20" s="65"/>
      <c r="F20" s="37" t="s">
        <v>166</v>
      </c>
      <c r="G20" s="98" t="s">
        <v>634</v>
      </c>
      <c r="H20" s="102"/>
      <c r="I20" s="103" t="s">
        <v>671</v>
      </c>
      <c r="J20" s="79" t="s">
        <v>459</v>
      </c>
      <c r="K20" s="46"/>
      <c r="L20" s="46"/>
      <c r="M20" s="46"/>
      <c r="N20" s="46"/>
      <c r="O20" s="46"/>
      <c r="P20" s="46"/>
    </row>
    <row r="21" spans="1:16" ht="129.6" x14ac:dyDescent="0.3">
      <c r="A21" s="65"/>
      <c r="B21" s="32" t="s">
        <v>699</v>
      </c>
      <c r="C21" s="65"/>
      <c r="D21" s="92" t="s">
        <v>352</v>
      </c>
      <c r="E21" s="65"/>
      <c r="F21" s="37" t="s">
        <v>610</v>
      </c>
      <c r="G21" s="98" t="s">
        <v>635</v>
      </c>
      <c r="H21" s="102"/>
      <c r="I21" s="103" t="s">
        <v>672</v>
      </c>
      <c r="J21" s="79" t="s">
        <v>692</v>
      </c>
      <c r="K21" s="46"/>
      <c r="L21" s="46"/>
      <c r="M21" s="46"/>
      <c r="N21" s="46"/>
      <c r="O21" s="46"/>
      <c r="P21" s="46"/>
    </row>
    <row r="22" spans="1:16" ht="129.6" x14ac:dyDescent="0.3">
      <c r="A22" s="65"/>
      <c r="B22" s="32" t="s">
        <v>699</v>
      </c>
      <c r="C22" s="65"/>
      <c r="D22" s="91" t="s">
        <v>336</v>
      </c>
      <c r="E22" s="65"/>
      <c r="F22" s="37" t="s">
        <v>174</v>
      </c>
      <c r="G22" s="98" t="s">
        <v>636</v>
      </c>
      <c r="H22" s="102"/>
      <c r="I22" s="103" t="s">
        <v>673</v>
      </c>
      <c r="J22" s="79" t="s">
        <v>466</v>
      </c>
      <c r="K22" s="46"/>
      <c r="L22" s="46"/>
      <c r="M22" s="46"/>
      <c r="N22" s="46"/>
      <c r="O22" s="46"/>
      <c r="P22" s="46"/>
    </row>
    <row r="23" spans="1:16" ht="129.6" x14ac:dyDescent="0.3">
      <c r="A23" s="65"/>
      <c r="B23" s="32" t="s">
        <v>699</v>
      </c>
      <c r="C23" s="65"/>
      <c r="D23" s="91" t="s">
        <v>337</v>
      </c>
      <c r="E23" s="65"/>
      <c r="F23" s="37" t="s">
        <v>178</v>
      </c>
      <c r="G23" s="98" t="s">
        <v>637</v>
      </c>
      <c r="H23" s="102"/>
      <c r="I23" s="103" t="s">
        <v>674</v>
      </c>
      <c r="J23" s="79" t="s">
        <v>470</v>
      </c>
      <c r="K23" s="46"/>
      <c r="L23" s="46"/>
      <c r="M23" s="46"/>
      <c r="N23" s="46"/>
      <c r="O23" s="46"/>
      <c r="P23" s="46"/>
    </row>
    <row r="24" spans="1:16" ht="129.6" x14ac:dyDescent="0.3">
      <c r="A24" s="65"/>
      <c r="B24" s="32" t="s">
        <v>699</v>
      </c>
      <c r="C24" s="65"/>
      <c r="D24" s="91" t="s">
        <v>338</v>
      </c>
      <c r="E24" s="65"/>
      <c r="F24" s="37" t="s">
        <v>179</v>
      </c>
      <c r="G24" s="98" t="s">
        <v>638</v>
      </c>
      <c r="H24" s="102"/>
      <c r="I24" s="103" t="s">
        <v>675</v>
      </c>
      <c r="J24" s="79" t="s">
        <v>471</v>
      </c>
      <c r="K24" s="46"/>
      <c r="L24" s="46"/>
      <c r="M24" s="46"/>
      <c r="N24" s="46"/>
      <c r="O24" s="46"/>
      <c r="P24" s="46"/>
    </row>
    <row r="25" spans="1:16" ht="129.6" x14ac:dyDescent="0.3">
      <c r="A25" s="65"/>
      <c r="B25" s="32" t="s">
        <v>699</v>
      </c>
      <c r="C25" s="65"/>
      <c r="D25" s="91" t="s">
        <v>339</v>
      </c>
      <c r="E25" s="65"/>
      <c r="F25" s="37" t="s">
        <v>180</v>
      </c>
      <c r="G25" s="98" t="s">
        <v>639</v>
      </c>
      <c r="H25" s="102"/>
      <c r="I25" s="103" t="s">
        <v>676</v>
      </c>
      <c r="J25" s="79" t="s">
        <v>472</v>
      </c>
      <c r="K25" s="46"/>
      <c r="L25" s="46"/>
      <c r="M25" s="46"/>
      <c r="N25" s="46"/>
      <c r="O25" s="46"/>
      <c r="P25" s="46"/>
    </row>
    <row r="26" spans="1:16" ht="129.6" x14ac:dyDescent="0.3">
      <c r="A26" s="65"/>
      <c r="B26" s="32" t="s">
        <v>699</v>
      </c>
      <c r="C26" s="65"/>
      <c r="D26" s="91" t="s">
        <v>340</v>
      </c>
      <c r="E26" s="65"/>
      <c r="F26" s="37" t="s">
        <v>189</v>
      </c>
      <c r="G26" s="98" t="s">
        <v>640</v>
      </c>
      <c r="H26" s="102"/>
      <c r="I26" s="103" t="s">
        <v>677</v>
      </c>
      <c r="J26" s="80" t="s">
        <v>481</v>
      </c>
      <c r="K26" s="46"/>
      <c r="L26" s="46"/>
      <c r="M26" s="46"/>
      <c r="N26" s="46"/>
      <c r="O26" s="46"/>
      <c r="P26" s="46"/>
    </row>
    <row r="27" spans="1:16" ht="129.6" x14ac:dyDescent="0.3">
      <c r="A27" s="65"/>
      <c r="B27" s="32" t="s">
        <v>699</v>
      </c>
      <c r="C27" s="65"/>
      <c r="D27" s="91" t="s">
        <v>341</v>
      </c>
      <c r="E27" s="65"/>
      <c r="F27" s="37" t="s">
        <v>190</v>
      </c>
      <c r="G27" s="98" t="s">
        <v>641</v>
      </c>
      <c r="H27" s="102"/>
      <c r="I27" s="103" t="s">
        <v>678</v>
      </c>
      <c r="J27" s="80" t="s">
        <v>482</v>
      </c>
      <c r="K27" s="46"/>
      <c r="L27" s="46"/>
      <c r="M27" s="46"/>
      <c r="N27" s="46"/>
      <c r="O27" s="46"/>
      <c r="P27" s="46"/>
    </row>
    <row r="28" spans="1:16" ht="129.6" x14ac:dyDescent="0.3">
      <c r="A28" s="65"/>
      <c r="B28" s="32" t="s">
        <v>699</v>
      </c>
      <c r="C28" s="65"/>
      <c r="D28" s="91" t="s">
        <v>353</v>
      </c>
      <c r="E28" s="65"/>
      <c r="F28" s="37" t="s">
        <v>192</v>
      </c>
      <c r="G28" s="98" t="s">
        <v>642</v>
      </c>
      <c r="H28" s="102"/>
      <c r="I28" s="103" t="s">
        <v>679</v>
      </c>
      <c r="J28" s="79" t="s">
        <v>484</v>
      </c>
      <c r="K28" s="46"/>
      <c r="L28" s="46"/>
      <c r="M28" s="46"/>
      <c r="N28" s="46"/>
      <c r="O28" s="46"/>
      <c r="P28" s="46"/>
    </row>
    <row r="29" spans="1:16" ht="129.6" x14ac:dyDescent="0.3">
      <c r="A29" s="65"/>
      <c r="B29" s="32" t="s">
        <v>699</v>
      </c>
      <c r="C29" s="65"/>
      <c r="D29" s="91" t="s">
        <v>342</v>
      </c>
      <c r="E29" s="65"/>
      <c r="F29" s="37" t="s">
        <v>193</v>
      </c>
      <c r="G29" s="98" t="s">
        <v>643</v>
      </c>
      <c r="H29" s="102"/>
      <c r="I29" s="103" t="s">
        <v>680</v>
      </c>
      <c r="J29" s="79" t="s">
        <v>485</v>
      </c>
      <c r="K29" s="46"/>
      <c r="L29" s="46"/>
      <c r="M29" s="46"/>
      <c r="N29" s="46"/>
      <c r="O29" s="46"/>
      <c r="P29" s="46"/>
    </row>
    <row r="30" spans="1:16" ht="129.6" x14ac:dyDescent="0.3">
      <c r="A30" s="65"/>
      <c r="B30" s="32" t="s">
        <v>699</v>
      </c>
      <c r="C30" s="65"/>
      <c r="D30" s="93" t="s">
        <v>354</v>
      </c>
      <c r="E30" s="65"/>
      <c r="F30" s="37" t="s">
        <v>611</v>
      </c>
      <c r="G30" s="98" t="s">
        <v>644</v>
      </c>
      <c r="H30" s="102"/>
      <c r="I30" s="103" t="s">
        <v>681</v>
      </c>
      <c r="J30" s="79" t="s">
        <v>693</v>
      </c>
      <c r="K30" s="46"/>
      <c r="L30" s="46"/>
      <c r="M30" s="46"/>
      <c r="N30" s="46"/>
      <c r="O30" s="46"/>
      <c r="P30" s="46"/>
    </row>
    <row r="31" spans="1:16" ht="129.6" x14ac:dyDescent="0.3">
      <c r="A31" s="65"/>
      <c r="B31" s="32" t="s">
        <v>699</v>
      </c>
      <c r="C31" s="65"/>
      <c r="D31" s="91" t="s">
        <v>343</v>
      </c>
      <c r="E31" s="65"/>
      <c r="F31" s="37" t="s">
        <v>201</v>
      </c>
      <c r="G31" s="98" t="s">
        <v>645</v>
      </c>
      <c r="H31" s="102"/>
      <c r="I31" s="103" t="s">
        <v>682</v>
      </c>
      <c r="J31" s="79" t="s">
        <v>493</v>
      </c>
      <c r="K31" s="46"/>
      <c r="L31" s="46"/>
      <c r="M31" s="46"/>
      <c r="N31" s="46"/>
      <c r="O31" s="46"/>
      <c r="P31" s="46"/>
    </row>
    <row r="32" spans="1:16" ht="144" x14ac:dyDescent="0.3">
      <c r="A32" s="65"/>
      <c r="B32" s="32" t="s">
        <v>699</v>
      </c>
      <c r="C32" s="65"/>
      <c r="D32" s="91" t="s">
        <v>344</v>
      </c>
      <c r="E32" s="65"/>
      <c r="F32" s="37" t="s">
        <v>204</v>
      </c>
      <c r="G32" s="98" t="s">
        <v>646</v>
      </c>
      <c r="H32" s="102"/>
      <c r="I32" s="103" t="s">
        <v>683</v>
      </c>
      <c r="J32" s="79" t="s">
        <v>496</v>
      </c>
      <c r="K32" s="46"/>
      <c r="L32" s="46"/>
      <c r="M32" s="46"/>
      <c r="N32" s="46"/>
      <c r="O32" s="46"/>
      <c r="P32" s="46"/>
    </row>
    <row r="33" spans="1:16" ht="129.6" x14ac:dyDescent="0.3">
      <c r="A33" s="65"/>
      <c r="B33" s="32" t="s">
        <v>699</v>
      </c>
      <c r="C33" s="65"/>
      <c r="D33" s="91" t="s">
        <v>335</v>
      </c>
      <c r="E33" s="65"/>
      <c r="F33" s="37" t="s">
        <v>205</v>
      </c>
      <c r="G33" s="98" t="s">
        <v>647</v>
      </c>
      <c r="H33" s="102"/>
      <c r="I33" s="103" t="s">
        <v>684</v>
      </c>
      <c r="J33" s="79" t="s">
        <v>465</v>
      </c>
      <c r="K33" s="46"/>
      <c r="L33" s="46"/>
      <c r="M33" s="46"/>
      <c r="N33" s="46"/>
      <c r="O33" s="46"/>
      <c r="P33" s="46"/>
    </row>
    <row r="34" spans="1:16" ht="129.6" x14ac:dyDescent="0.3">
      <c r="A34" s="65"/>
      <c r="B34" s="32" t="s">
        <v>699</v>
      </c>
      <c r="C34" s="65"/>
      <c r="D34" s="91" t="s">
        <v>345</v>
      </c>
      <c r="E34" s="65"/>
      <c r="F34" s="37" t="s">
        <v>206</v>
      </c>
      <c r="G34" s="98" t="s">
        <v>648</v>
      </c>
      <c r="H34" s="102"/>
      <c r="I34" s="103" t="s">
        <v>685</v>
      </c>
      <c r="J34" s="79" t="s">
        <v>497</v>
      </c>
      <c r="K34" s="46"/>
      <c r="L34" s="46"/>
      <c r="M34" s="46"/>
      <c r="N34" s="46"/>
      <c r="O34" s="46"/>
      <c r="P34" s="46"/>
    </row>
    <row r="35" spans="1:16" ht="129.6" x14ac:dyDescent="0.3">
      <c r="A35" s="65"/>
      <c r="B35" s="32" t="s">
        <v>699</v>
      </c>
      <c r="C35" s="65"/>
      <c r="D35" s="91" t="s">
        <v>346</v>
      </c>
      <c r="E35" s="65"/>
      <c r="F35" s="37" t="s">
        <v>612</v>
      </c>
      <c r="G35" s="98" t="s">
        <v>649</v>
      </c>
      <c r="H35" s="102"/>
      <c r="I35" s="103" t="s">
        <v>686</v>
      </c>
      <c r="J35" s="79" t="s">
        <v>694</v>
      </c>
      <c r="K35" s="46"/>
      <c r="L35" s="46"/>
      <c r="M35" s="46"/>
      <c r="N35" s="46"/>
      <c r="O35" s="46"/>
      <c r="P35" s="46"/>
    </row>
    <row r="36" spans="1:16" ht="129.6" x14ac:dyDescent="0.3">
      <c r="A36" s="65"/>
      <c r="B36" s="32" t="s">
        <v>699</v>
      </c>
      <c r="C36" s="65"/>
      <c r="D36" s="91" t="s">
        <v>347</v>
      </c>
      <c r="E36" s="65"/>
      <c r="F36" s="37" t="s">
        <v>613</v>
      </c>
      <c r="G36" s="98" t="s">
        <v>650</v>
      </c>
      <c r="H36" s="102"/>
      <c r="I36" s="103" t="s">
        <v>687</v>
      </c>
      <c r="J36" s="79" t="s">
        <v>695</v>
      </c>
      <c r="K36" s="46"/>
      <c r="L36" s="46"/>
      <c r="M36" s="46"/>
      <c r="N36" s="46"/>
      <c r="O36" s="46"/>
      <c r="P36" s="46"/>
    </row>
    <row r="37" spans="1:16" ht="129.6" x14ac:dyDescent="0.3">
      <c r="A37" s="65"/>
      <c r="B37" s="32" t="s">
        <v>699</v>
      </c>
      <c r="C37" s="65"/>
      <c r="D37" s="91" t="s">
        <v>348</v>
      </c>
      <c r="E37" s="65"/>
      <c r="F37" s="37" t="s">
        <v>614</v>
      </c>
      <c r="G37" s="98" t="s">
        <v>651</v>
      </c>
      <c r="H37" s="102"/>
      <c r="I37" s="103" t="s">
        <v>688</v>
      </c>
      <c r="J37" s="79" t="s">
        <v>696</v>
      </c>
      <c r="K37" s="46"/>
      <c r="L37" s="46"/>
      <c r="M37" s="46"/>
      <c r="N37" s="46"/>
      <c r="O37" s="46"/>
      <c r="P37" s="46"/>
    </row>
    <row r="38" spans="1:16" ht="129.6" x14ac:dyDescent="0.3">
      <c r="A38" s="65"/>
      <c r="B38" s="32" t="s">
        <v>699</v>
      </c>
      <c r="C38" s="65"/>
      <c r="D38" s="91" t="s">
        <v>349</v>
      </c>
      <c r="E38" s="65"/>
      <c r="F38" s="37" t="s">
        <v>615</v>
      </c>
      <c r="G38" s="98" t="s">
        <v>652</v>
      </c>
      <c r="H38" s="102"/>
      <c r="I38" s="103" t="s">
        <v>689</v>
      </c>
      <c r="J38" s="79" t="s">
        <v>697</v>
      </c>
      <c r="K38" s="46"/>
      <c r="L38" s="46"/>
      <c r="M38" s="46"/>
      <c r="N38" s="46"/>
      <c r="O38" s="46"/>
      <c r="P38" s="46"/>
    </row>
    <row r="39" spans="1:16" s="95" customFormat="1" ht="129.6" x14ac:dyDescent="0.3">
      <c r="A39" s="65"/>
      <c r="B39" s="32" t="s">
        <v>699</v>
      </c>
      <c r="C39" s="65"/>
      <c r="D39" s="91" t="s">
        <v>350</v>
      </c>
      <c r="E39" s="65"/>
      <c r="F39" s="94" t="s">
        <v>616</v>
      </c>
      <c r="G39" s="98" t="s">
        <v>653</v>
      </c>
      <c r="H39" s="102"/>
      <c r="I39" s="103" t="s">
        <v>690</v>
      </c>
      <c r="J39" s="79" t="s">
        <v>698</v>
      </c>
      <c r="K39" s="46"/>
      <c r="L39" s="46"/>
      <c r="M39" s="46"/>
      <c r="N39" s="46"/>
      <c r="O39" s="46"/>
      <c r="P39" s="46"/>
    </row>
  </sheetData>
  <autoFilter ref="A1:P10" xr:uid="{D6FF6ECE-39C0-4B76-8067-CC1A05761090}"/>
  <mergeCells count="11">
    <mergeCell ref="P1:P2"/>
    <mergeCell ref="A1:A2"/>
    <mergeCell ref="F1:F2"/>
    <mergeCell ref="H1:H2"/>
    <mergeCell ref="I1:I2"/>
    <mergeCell ref="J1:J2"/>
    <mergeCell ref="K1:K2"/>
    <mergeCell ref="L1:L2"/>
    <mergeCell ref="M1:M2"/>
    <mergeCell ref="N1:N2"/>
    <mergeCell ref="O1:O2"/>
  </mergeCells>
  <conditionalFormatting sqref="M1:M1048576">
    <cfRule type="cellIs" dxfId="39" priority="1" operator="equal">
      <formula>"Not Completed"</formula>
    </cfRule>
    <cfRule type="cellIs" dxfId="38" priority="2" operator="equal">
      <formula>"Blocked"</formula>
    </cfRule>
    <cfRule type="cellIs" dxfId="37" priority="3" operator="equal">
      <formula>"Dropped"</formula>
    </cfRule>
    <cfRule type="cellIs" dxfId="36" priority="4" operator="equal">
      <formula>"Failed"</formula>
    </cfRule>
    <cfRule type="cellIs" dxfId="35" priority="5" operator="equal">
      <formula>"Passed"</formula>
    </cfRule>
  </conditionalFormatting>
  <conditionalFormatting sqref="M3:M10">
    <cfRule type="cellIs" dxfId="34" priority="6" operator="equal">
      <formula>"Not Completed"</formula>
    </cfRule>
    <cfRule type="cellIs" dxfId="33" priority="7" operator="equal">
      <formula>"Dropped"</formula>
    </cfRule>
    <cfRule type="cellIs" priority="8" operator="equal">
      <formula>"Dropped"</formula>
    </cfRule>
    <cfRule type="cellIs" dxfId="32" priority="9" operator="equal">
      <formula>"Failed"</formula>
    </cfRule>
    <cfRule type="cellIs" dxfId="31" priority="10" operator="equal">
      <formula>"Passed"</formula>
    </cfRule>
    <cfRule type="cellIs" priority="11" operator="equal">
      <formula>"Passed"</formula>
    </cfRule>
    <cfRule type="cellIs" dxfId="30" priority="12" operator="equal">
      <formula>"Not Started"</formula>
    </cfRule>
    <cfRule type="cellIs" priority="13" operator="equal">
      <formula>"Not Started"</formula>
    </cfRule>
    <cfRule type="cellIs" dxfId="29" priority="14" operator="equal">
      <formula>"Not Started"</formula>
    </cfRule>
    <cfRule type="cellIs" dxfId="28" priority="15" operator="equal">
      <formula>"Not Started"</formula>
    </cfRule>
    <cfRule type="cellIs" dxfId="27" priority="16" operator="equal">
      <formula>"Not Completed"</formula>
    </cfRule>
    <cfRule type="cellIs" dxfId="26" priority="17" operator="equal">
      <formula>"Not Complete"</formula>
    </cfRule>
    <cfRule type="cellIs" dxfId="25" priority="18" operator="equal">
      <formula>"Not Completed"</formula>
    </cfRule>
    <cfRule type="cellIs" dxfId="24" priority="19" operator="equal">
      <formula>"Not Started"</formula>
    </cfRule>
    <cfRule type="cellIs" dxfId="23" priority="20" operator="equal">
      <formula>"Dropped"</formula>
    </cfRule>
    <cfRule type="cellIs" dxfId="22" priority="21" operator="equal">
      <formula>"Failed"</formula>
    </cfRule>
    <cfRule type="colorScale" priority="22">
      <colorScale>
        <cfvo type="min"/>
        <cfvo type="max"/>
        <color rgb="FFF26E6E"/>
        <color rgb="FFFFEF9C"/>
      </colorScale>
    </cfRule>
    <cfRule type="cellIs" dxfId="21" priority="23" operator="equal">
      <formula>"Failed"</formula>
    </cfRule>
    <cfRule type="cellIs" dxfId="20" priority="24" operator="equal">
      <formula>"Passed"</formula>
    </cfRule>
  </conditionalFormatting>
  <dataValidations count="1">
    <dataValidation type="list" allowBlank="1" showInputMessage="1" showErrorMessage="1" sqref="M3:M10" xr:uid="{C30B0BF8-F4E9-4B40-877A-112474C97B23}">
      <formula1>"Passed, Failed, Dropped, Not Started, Not Completed"</formula1>
    </dataValidation>
  </dataValidations>
  <pageMargins left="0.7" right="0.7" top="0.75" bottom="0.75" header="0.3" footer="0.3"/>
  <pageSetup orientation="portrait" r:id="rId1"/>
  <headerFooter>
    <oddHeader>&amp;L&amp;"Aptos"&amp;12&amp;K008000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044C-D3CF-4CA3-BB45-19C2BC86934F}">
  <dimension ref="A1:N11"/>
  <sheetViews>
    <sheetView zoomScale="70" zoomScaleNormal="70" workbookViewId="0">
      <pane xSplit="6" ySplit="2" topLeftCell="G3" activePane="bottomRight" state="frozen"/>
      <selection activeCell="B7" sqref="B7"/>
      <selection pane="topRight" activeCell="B7" sqref="B7"/>
      <selection pane="bottomLeft" activeCell="B7" sqref="B7"/>
      <selection pane="bottomRight" activeCell="E12" sqref="E12"/>
    </sheetView>
  </sheetViews>
  <sheetFormatPr defaultRowHeight="14.4" x14ac:dyDescent="0.3"/>
  <cols>
    <col min="1" max="1" width="12.6640625" style="14" bestFit="1" customWidth="1"/>
    <col min="2" max="3" width="25.109375" style="14" customWidth="1"/>
    <col min="4" max="4" width="58.109375" style="14" customWidth="1"/>
    <col min="5" max="5" width="29.44140625" style="14" customWidth="1"/>
    <col min="6" max="6" width="17" customWidth="1"/>
    <col min="7" max="7" width="39.109375" customWidth="1"/>
    <col min="8" max="8" width="53.5546875" style="81" customWidth="1"/>
    <col min="9" max="9" width="17.109375" customWidth="1"/>
    <col min="10" max="10" width="13.44140625" customWidth="1"/>
    <col min="11" max="11" width="26.5546875" customWidth="1"/>
    <col min="12" max="12" width="14.44140625" customWidth="1"/>
    <col min="13" max="13" width="11.109375" customWidth="1"/>
    <col min="14" max="14" width="36.88671875" customWidth="1"/>
  </cols>
  <sheetData>
    <row r="1" spans="1:14" s="30" customFormat="1" ht="59.4" customHeight="1" thickBot="1" x14ac:dyDescent="0.35">
      <c r="A1" s="239" t="s">
        <v>85</v>
      </c>
      <c r="B1" s="31" t="s">
        <v>83</v>
      </c>
      <c r="C1" s="31" t="s">
        <v>98</v>
      </c>
      <c r="D1" s="241" t="s">
        <v>1</v>
      </c>
      <c r="E1" s="31" t="s">
        <v>87</v>
      </c>
      <c r="F1" s="243" t="s">
        <v>84</v>
      </c>
      <c r="G1" s="245" t="s">
        <v>2</v>
      </c>
      <c r="H1" s="235" t="s">
        <v>3</v>
      </c>
      <c r="I1" s="237" t="s">
        <v>4</v>
      </c>
      <c r="J1" s="233" t="s">
        <v>5</v>
      </c>
      <c r="K1" s="233" t="s">
        <v>6</v>
      </c>
      <c r="L1" s="233" t="s">
        <v>7</v>
      </c>
      <c r="M1" s="233" t="s">
        <v>8</v>
      </c>
      <c r="N1" s="233" t="s">
        <v>9</v>
      </c>
    </row>
    <row r="2" spans="1:14" ht="14.4" hidden="1" customHeight="1" thickBot="1" x14ac:dyDescent="0.35">
      <c r="A2" s="240"/>
      <c r="B2" s="33"/>
      <c r="C2" s="58"/>
      <c r="D2" s="242"/>
      <c r="E2" s="33"/>
      <c r="F2" s="244"/>
      <c r="G2" s="246"/>
      <c r="H2" s="236"/>
      <c r="I2" s="238"/>
      <c r="J2" s="234"/>
      <c r="K2" s="234"/>
      <c r="L2" s="234"/>
      <c r="M2" s="234"/>
      <c r="N2" s="234"/>
    </row>
    <row r="3" spans="1:14" s="1" customFormat="1" ht="110.25" customHeight="1" x14ac:dyDescent="0.3">
      <c r="A3" s="34"/>
      <c r="B3" s="32" t="s">
        <v>701</v>
      </c>
      <c r="C3" s="32" t="s">
        <v>82</v>
      </c>
      <c r="D3" s="37" t="s">
        <v>702</v>
      </c>
      <c r="E3" s="96" t="s">
        <v>715</v>
      </c>
      <c r="F3" s="99"/>
      <c r="G3" s="112"/>
      <c r="H3" s="110" t="s">
        <v>703</v>
      </c>
      <c r="I3" s="39"/>
      <c r="J3" s="40"/>
      <c r="K3" s="40" t="s">
        <v>10</v>
      </c>
      <c r="L3" s="41"/>
      <c r="M3" s="42"/>
      <c r="N3" s="42"/>
    </row>
    <row r="4" spans="1:14" s="1" customFormat="1" ht="87" customHeight="1" x14ac:dyDescent="0.3">
      <c r="A4" s="34"/>
      <c r="B4" s="32" t="s">
        <v>701</v>
      </c>
      <c r="C4" s="32" t="s">
        <v>25</v>
      </c>
      <c r="D4" s="37" t="s">
        <v>702</v>
      </c>
      <c r="E4" s="96" t="s">
        <v>716</v>
      </c>
      <c r="F4" s="99"/>
      <c r="G4" s="112"/>
      <c r="H4" s="111" t="s">
        <v>703</v>
      </c>
      <c r="I4" s="39"/>
      <c r="J4" s="39"/>
      <c r="K4" s="40" t="s">
        <v>10</v>
      </c>
      <c r="L4" s="39"/>
      <c r="M4" s="39"/>
      <c r="N4" s="42"/>
    </row>
    <row r="5" spans="1:14" s="1" customFormat="1" ht="99.75" customHeight="1" x14ac:dyDescent="0.3">
      <c r="A5" s="34"/>
      <c r="B5" s="32" t="s">
        <v>701</v>
      </c>
      <c r="C5" s="32" t="s">
        <v>714</v>
      </c>
      <c r="D5" s="37" t="s">
        <v>702</v>
      </c>
      <c r="E5" s="96" t="s">
        <v>717</v>
      </c>
      <c r="F5" s="99"/>
      <c r="G5" s="112"/>
      <c r="H5" s="111" t="s">
        <v>703</v>
      </c>
      <c r="I5" s="39"/>
      <c r="J5" s="39"/>
      <c r="K5" s="40" t="s">
        <v>10</v>
      </c>
      <c r="L5" s="39"/>
      <c r="M5" s="39"/>
      <c r="N5" s="42"/>
    </row>
    <row r="6" spans="1:14" s="1" customFormat="1" ht="99.75" customHeight="1" x14ac:dyDescent="0.3">
      <c r="A6" s="34"/>
      <c r="B6" s="32" t="s">
        <v>701</v>
      </c>
      <c r="C6" s="32" t="s">
        <v>29</v>
      </c>
      <c r="D6" s="37" t="s">
        <v>702</v>
      </c>
      <c r="E6" s="96" t="s">
        <v>718</v>
      </c>
      <c r="F6" s="99"/>
      <c r="G6" s="112"/>
      <c r="H6" s="111" t="s">
        <v>703</v>
      </c>
      <c r="I6" s="39"/>
      <c r="J6" s="39"/>
      <c r="K6" s="40" t="s">
        <v>10</v>
      </c>
      <c r="L6" s="39"/>
      <c r="M6" s="39"/>
      <c r="N6" s="42"/>
    </row>
    <row r="7" spans="1:14" s="1" customFormat="1" ht="144" customHeight="1" x14ac:dyDescent="0.3">
      <c r="A7" s="34"/>
      <c r="B7" s="32" t="s">
        <v>701</v>
      </c>
      <c r="C7" s="32" t="s">
        <v>42</v>
      </c>
      <c r="D7" s="37" t="s">
        <v>702</v>
      </c>
      <c r="E7" s="96" t="s">
        <v>719</v>
      </c>
      <c r="F7" s="100"/>
      <c r="G7" s="112"/>
      <c r="H7" s="111" t="s">
        <v>704</v>
      </c>
      <c r="I7" s="39"/>
      <c r="J7" s="39"/>
      <c r="K7" s="40" t="s">
        <v>10</v>
      </c>
      <c r="L7" s="39"/>
      <c r="M7" s="39"/>
      <c r="N7" s="42"/>
    </row>
    <row r="8" spans="1:14" s="1" customFormat="1" ht="108.75" customHeight="1" x14ac:dyDescent="0.3">
      <c r="A8" s="34"/>
      <c r="B8" s="32" t="s">
        <v>701</v>
      </c>
      <c r="C8" s="32" t="s">
        <v>47</v>
      </c>
      <c r="D8" s="37" t="s">
        <v>702</v>
      </c>
      <c r="E8" s="96" t="s">
        <v>720</v>
      </c>
      <c r="F8" s="100"/>
      <c r="G8" s="112"/>
      <c r="H8" s="111" t="s">
        <v>704</v>
      </c>
      <c r="I8" s="39"/>
      <c r="J8" s="39"/>
      <c r="K8" s="40" t="s">
        <v>10</v>
      </c>
      <c r="L8" s="39"/>
      <c r="M8" s="39"/>
      <c r="N8" s="42"/>
    </row>
    <row r="9" spans="1:14" s="1" customFormat="1" ht="88.5" customHeight="1" x14ac:dyDescent="0.3">
      <c r="A9" s="59"/>
      <c r="B9" s="32" t="s">
        <v>701</v>
      </c>
      <c r="C9" s="32" t="s">
        <v>51</v>
      </c>
      <c r="D9" s="37" t="s">
        <v>702</v>
      </c>
      <c r="E9" s="96" t="s">
        <v>721</v>
      </c>
      <c r="F9" s="104"/>
      <c r="G9" s="112"/>
      <c r="H9" s="111" t="s">
        <v>704</v>
      </c>
      <c r="I9" s="62"/>
      <c r="J9" s="62"/>
      <c r="K9" s="63" t="s">
        <v>10</v>
      </c>
      <c r="L9" s="62"/>
      <c r="M9" s="62"/>
      <c r="N9" s="64"/>
    </row>
    <row r="10" spans="1:14" ht="124.5" customHeight="1" x14ac:dyDescent="0.3">
      <c r="A10" s="105"/>
      <c r="B10" s="32" t="s">
        <v>701</v>
      </c>
      <c r="C10" s="32" t="s">
        <v>55</v>
      </c>
      <c r="D10" s="37" t="s">
        <v>702</v>
      </c>
      <c r="E10" s="96" t="s">
        <v>722</v>
      </c>
      <c r="F10" s="109"/>
      <c r="G10" s="46"/>
      <c r="H10" s="111" t="s">
        <v>704</v>
      </c>
      <c r="I10" s="106"/>
      <c r="J10" s="106"/>
      <c r="K10" s="107" t="s">
        <v>10</v>
      </c>
      <c r="L10" s="106"/>
      <c r="M10" s="106"/>
      <c r="N10" s="108"/>
    </row>
    <row r="11" spans="1:14" ht="124.5" customHeight="1" x14ac:dyDescent="0.3">
      <c r="A11" s="105"/>
      <c r="B11" s="32" t="s">
        <v>701</v>
      </c>
      <c r="C11" s="32" t="s">
        <v>62</v>
      </c>
      <c r="D11" s="37" t="s">
        <v>702</v>
      </c>
      <c r="E11" s="96" t="s">
        <v>723</v>
      </c>
      <c r="F11" s="109"/>
      <c r="G11" s="46"/>
      <c r="H11" s="111" t="s">
        <v>704</v>
      </c>
      <c r="I11" s="106"/>
      <c r="J11" s="106"/>
      <c r="K11" s="107" t="s">
        <v>10</v>
      </c>
      <c r="L11" s="106"/>
      <c r="M11" s="106"/>
      <c r="N11" s="108"/>
    </row>
  </sheetData>
  <autoFilter ref="A1:N10" xr:uid="{D6FF6ECE-39C0-4B76-8067-CC1A05761090}"/>
  <mergeCells count="11">
    <mergeCell ref="J1:J2"/>
    <mergeCell ref="K1:K2"/>
    <mergeCell ref="L1:L2"/>
    <mergeCell ref="M1:M2"/>
    <mergeCell ref="N1:N2"/>
    <mergeCell ref="I1:I2"/>
    <mergeCell ref="A1:A2"/>
    <mergeCell ref="D1:D2"/>
    <mergeCell ref="F1:F2"/>
    <mergeCell ref="G1:G2"/>
    <mergeCell ref="H1:H2"/>
  </mergeCells>
  <phoneticPr fontId="5" type="noConversion"/>
  <conditionalFormatting sqref="K1:K1048576">
    <cfRule type="cellIs" dxfId="19" priority="1" operator="equal">
      <formula>"Not Completed"</formula>
    </cfRule>
    <cfRule type="cellIs" dxfId="18" priority="2" operator="equal">
      <formula>"Blocked"</formula>
    </cfRule>
    <cfRule type="cellIs" dxfId="17" priority="3" operator="equal">
      <formula>"Dropped"</formula>
    </cfRule>
    <cfRule type="cellIs" dxfId="16" priority="4" operator="equal">
      <formula>"Failed"</formula>
    </cfRule>
    <cfRule type="cellIs" dxfId="15" priority="5" operator="equal">
      <formula>"Passed"</formula>
    </cfRule>
  </conditionalFormatting>
  <conditionalFormatting sqref="K3:K11">
    <cfRule type="cellIs" dxfId="14" priority="6" operator="equal">
      <formula>"Not Completed"</formula>
    </cfRule>
    <cfRule type="cellIs" dxfId="13" priority="7" operator="equal">
      <formula>"Dropped"</formula>
    </cfRule>
    <cfRule type="cellIs" priority="8" operator="equal">
      <formula>"Dropped"</formula>
    </cfRule>
    <cfRule type="cellIs" dxfId="12" priority="9" operator="equal">
      <formula>"Failed"</formula>
    </cfRule>
    <cfRule type="cellIs" dxfId="11" priority="10" operator="equal">
      <formula>"Passed"</formula>
    </cfRule>
    <cfRule type="cellIs" priority="11" operator="equal">
      <formula>"Passed"</formula>
    </cfRule>
    <cfRule type="cellIs" dxfId="10" priority="12" operator="equal">
      <formula>"Not Started"</formula>
    </cfRule>
    <cfRule type="cellIs" priority="13" operator="equal">
      <formula>"Not Started"</formula>
    </cfRule>
    <cfRule type="cellIs" dxfId="9" priority="14" operator="equal">
      <formula>"Not Started"</formula>
    </cfRule>
    <cfRule type="cellIs" dxfId="8" priority="15" operator="equal">
      <formula>"Not Started"</formula>
    </cfRule>
    <cfRule type="cellIs" dxfId="7" priority="16" operator="equal">
      <formula>"Not Completed"</formula>
    </cfRule>
    <cfRule type="cellIs" dxfId="6" priority="17" operator="equal">
      <formula>"Not Complete"</formula>
    </cfRule>
    <cfRule type="cellIs" dxfId="5" priority="18" operator="equal">
      <formula>"Not Completed"</formula>
    </cfRule>
    <cfRule type="cellIs" dxfId="4" priority="19" operator="equal">
      <formula>"Not Started"</formula>
    </cfRule>
    <cfRule type="cellIs" dxfId="3" priority="20" operator="equal">
      <formula>"Dropped"</formula>
    </cfRule>
    <cfRule type="cellIs" dxfId="2" priority="21" operator="equal">
      <formula>"Failed"</formula>
    </cfRule>
    <cfRule type="colorScale" priority="22">
      <colorScale>
        <cfvo type="min"/>
        <cfvo type="max"/>
        <color rgb="FFF26E6E"/>
        <color rgb="FFFFEF9C"/>
      </colorScale>
    </cfRule>
    <cfRule type="cellIs" dxfId="1" priority="23" operator="equal">
      <formula>"Failed"</formula>
    </cfRule>
    <cfRule type="cellIs" dxfId="0" priority="24" operator="equal">
      <formula>"Passed"</formula>
    </cfRule>
  </conditionalFormatting>
  <dataValidations count="1">
    <dataValidation type="list" allowBlank="1" showInputMessage="1" showErrorMessage="1" sqref="K3:K11" xr:uid="{4689C64F-C295-40C9-8F66-E454BAF0692A}">
      <formula1>"Passed, Failed, Dropped, Not Started, Not Completed"</formula1>
    </dataValidation>
  </dataValidations>
  <pageMargins left="0.7" right="0.7" top="0.75" bottom="0.75" header="0.3" footer="0.3"/>
  <pageSetup orientation="portrait" r:id="rId1"/>
  <headerFooter>
    <oddHeader>&amp;L&amp;"Aptos"&amp;12&amp;K008000 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BAE7-D1A5-42D8-8450-2F11C679BA8F}">
  <dimension ref="A1:F37"/>
  <sheetViews>
    <sheetView topLeftCell="A18" workbookViewId="0">
      <selection sqref="A1:A37"/>
    </sheetView>
  </sheetViews>
  <sheetFormatPr defaultRowHeight="14.4" x14ac:dyDescent="0.3"/>
  <cols>
    <col min="1" max="1" width="5.44140625" bestFit="1" customWidth="1"/>
    <col min="2" max="2" width="24.88671875" style="86" customWidth="1"/>
    <col min="3" max="3" width="18.88671875" style="29" bestFit="1" customWidth="1"/>
    <col min="4" max="4" width="16.109375" style="29" bestFit="1" customWidth="1"/>
    <col min="6" max="6" width="27.44140625" customWidth="1"/>
    <col min="8" max="8" width="16.5546875" customWidth="1"/>
  </cols>
  <sheetData>
    <row r="1" spans="1:5" x14ac:dyDescent="0.3">
      <c r="A1" s="78" t="s">
        <v>355</v>
      </c>
      <c r="B1" s="79" t="s">
        <v>315</v>
      </c>
      <c r="C1" s="47">
        <v>620260708036038</v>
      </c>
      <c r="D1" s="47">
        <v>720260708036438</v>
      </c>
      <c r="E1" s="46" t="s">
        <v>42</v>
      </c>
    </row>
    <row r="2" spans="1:5" x14ac:dyDescent="0.3">
      <c r="A2" s="78" t="s">
        <v>356</v>
      </c>
      <c r="B2" s="79" t="s">
        <v>320</v>
      </c>
      <c r="C2" s="47">
        <v>620260708036039</v>
      </c>
      <c r="D2" s="47">
        <v>720260708036439</v>
      </c>
      <c r="E2" s="46" t="s">
        <v>42</v>
      </c>
    </row>
    <row r="3" spans="1:5" x14ac:dyDescent="0.3">
      <c r="A3" s="78" t="s">
        <v>357</v>
      </c>
      <c r="B3" s="79" t="s">
        <v>321</v>
      </c>
      <c r="C3" s="47">
        <v>620260708036040</v>
      </c>
      <c r="D3" s="47">
        <v>720260708036440</v>
      </c>
      <c r="E3" s="46" t="s">
        <v>42</v>
      </c>
    </row>
    <row r="4" spans="1:5" x14ac:dyDescent="0.3">
      <c r="A4" s="78" t="s">
        <v>358</v>
      </c>
      <c r="B4" s="79" t="s">
        <v>322</v>
      </c>
      <c r="C4" s="47">
        <v>620260708036041</v>
      </c>
      <c r="D4" s="47">
        <v>720260708036441</v>
      </c>
      <c r="E4" s="46" t="s">
        <v>42</v>
      </c>
    </row>
    <row r="5" spans="1:5" x14ac:dyDescent="0.3">
      <c r="A5" s="78" t="s">
        <v>359</v>
      </c>
      <c r="B5" s="79" t="s">
        <v>323</v>
      </c>
      <c r="C5" s="47">
        <v>620260708036042</v>
      </c>
      <c r="D5" s="47">
        <v>720260708036442</v>
      </c>
      <c r="E5" s="46" t="s">
        <v>42</v>
      </c>
    </row>
    <row r="6" spans="1:5" x14ac:dyDescent="0.3">
      <c r="A6" s="78" t="s">
        <v>360</v>
      </c>
      <c r="B6" s="79" t="s">
        <v>324</v>
      </c>
      <c r="C6" s="47">
        <v>620260708036043</v>
      </c>
      <c r="D6" s="47">
        <v>720260708036443</v>
      </c>
      <c r="E6" s="46" t="s">
        <v>42</v>
      </c>
    </row>
    <row r="7" spans="1:5" x14ac:dyDescent="0.3">
      <c r="A7" s="78" t="s">
        <v>361</v>
      </c>
      <c r="B7" s="79" t="s">
        <v>325</v>
      </c>
      <c r="C7" s="47">
        <v>620260708036044</v>
      </c>
      <c r="D7" s="47">
        <v>720260708036444</v>
      </c>
      <c r="E7" s="46" t="s">
        <v>42</v>
      </c>
    </row>
    <row r="8" spans="1:5" x14ac:dyDescent="0.3">
      <c r="A8" s="78" t="s">
        <v>362</v>
      </c>
      <c r="B8" s="79" t="s">
        <v>326</v>
      </c>
      <c r="C8" s="47">
        <v>620260708036046</v>
      </c>
      <c r="D8" s="47">
        <v>720260708036446</v>
      </c>
      <c r="E8" s="46" t="s">
        <v>47</v>
      </c>
    </row>
    <row r="9" spans="1:5" ht="28.8" x14ac:dyDescent="0.3">
      <c r="A9" s="78" t="s">
        <v>363</v>
      </c>
      <c r="B9" s="79" t="s">
        <v>317</v>
      </c>
      <c r="C9" s="47">
        <v>620260708036047</v>
      </c>
      <c r="D9" s="47">
        <v>720260708036447</v>
      </c>
      <c r="E9" s="46" t="s">
        <v>47</v>
      </c>
    </row>
    <row r="10" spans="1:5" x14ac:dyDescent="0.3">
      <c r="A10" s="78" t="s">
        <v>364</v>
      </c>
      <c r="B10" s="79" t="s">
        <v>327</v>
      </c>
      <c r="C10" s="47">
        <v>620260708036048</v>
      </c>
      <c r="D10" s="47">
        <v>720260708036448</v>
      </c>
      <c r="E10" s="46" t="s">
        <v>47</v>
      </c>
    </row>
    <row r="11" spans="1:5" x14ac:dyDescent="0.3">
      <c r="A11" s="78" t="s">
        <v>365</v>
      </c>
      <c r="B11" s="79" t="s">
        <v>328</v>
      </c>
      <c r="C11" s="47">
        <v>620260708036049</v>
      </c>
      <c r="D11" s="47">
        <v>720260708036449</v>
      </c>
      <c r="E11" s="46" t="s">
        <v>47</v>
      </c>
    </row>
    <row r="12" spans="1:5" x14ac:dyDescent="0.3">
      <c r="A12" s="78" t="s">
        <v>366</v>
      </c>
      <c r="B12" s="79" t="s">
        <v>329</v>
      </c>
      <c r="C12" s="47">
        <v>620260708036050</v>
      </c>
      <c r="D12" s="47">
        <v>720260708036450</v>
      </c>
      <c r="E12" s="46" t="s">
        <v>47</v>
      </c>
    </row>
    <row r="13" spans="1:5" x14ac:dyDescent="0.3">
      <c r="A13" s="78" t="s">
        <v>367</v>
      </c>
      <c r="B13" s="79" t="s">
        <v>330</v>
      </c>
      <c r="C13" s="47">
        <v>620260708036051</v>
      </c>
      <c r="D13" s="47">
        <v>720260708036451</v>
      </c>
      <c r="E13" s="46" t="s">
        <v>47</v>
      </c>
    </row>
    <row r="14" spans="1:5" x14ac:dyDescent="0.3">
      <c r="A14" s="78" t="s">
        <v>368</v>
      </c>
      <c r="B14" s="79" t="s">
        <v>331</v>
      </c>
      <c r="C14" s="47">
        <v>620260708036019</v>
      </c>
      <c r="D14" s="47">
        <v>720260708036419</v>
      </c>
      <c r="E14" s="46" t="s">
        <v>51</v>
      </c>
    </row>
    <row r="15" spans="1:5" x14ac:dyDescent="0.3">
      <c r="A15" s="78" t="s">
        <v>369</v>
      </c>
      <c r="B15" s="79" t="s">
        <v>332</v>
      </c>
      <c r="C15" s="47">
        <v>620260708036020</v>
      </c>
      <c r="D15" s="47">
        <v>720260708036420</v>
      </c>
      <c r="E15" s="46" t="s">
        <v>51</v>
      </c>
    </row>
    <row r="16" spans="1:5" x14ac:dyDescent="0.3">
      <c r="A16" s="83" t="s">
        <v>370</v>
      </c>
      <c r="B16" s="85" t="s">
        <v>351</v>
      </c>
      <c r="C16" s="47">
        <v>620260708036021</v>
      </c>
      <c r="D16" s="47">
        <v>720260708036421</v>
      </c>
      <c r="E16" s="46" t="s">
        <v>51</v>
      </c>
    </row>
    <row r="17" spans="1:5" x14ac:dyDescent="0.3">
      <c r="A17" s="78" t="s">
        <v>371</v>
      </c>
      <c r="B17" s="79" t="s">
        <v>333</v>
      </c>
      <c r="C17" s="47">
        <v>620260708036022</v>
      </c>
      <c r="D17" s="47">
        <v>720260708036422</v>
      </c>
      <c r="E17" s="46" t="s">
        <v>51</v>
      </c>
    </row>
    <row r="18" spans="1:5" x14ac:dyDescent="0.3">
      <c r="A18" s="78" t="s">
        <v>372</v>
      </c>
      <c r="B18" s="79" t="s">
        <v>334</v>
      </c>
      <c r="C18" s="47">
        <v>620260708036023</v>
      </c>
      <c r="D18" s="47">
        <v>720260708036423</v>
      </c>
      <c r="E18" s="46" t="s">
        <v>51</v>
      </c>
    </row>
    <row r="19" spans="1:5" x14ac:dyDescent="0.3">
      <c r="A19" s="83" t="s">
        <v>373</v>
      </c>
      <c r="B19" s="85" t="s">
        <v>352</v>
      </c>
      <c r="C19" s="47">
        <v>620260708036024</v>
      </c>
      <c r="D19" s="47">
        <v>720260708036424</v>
      </c>
      <c r="E19" s="46" t="s">
        <v>51</v>
      </c>
    </row>
    <row r="20" spans="1:5" x14ac:dyDescent="0.3">
      <c r="A20" s="78" t="s">
        <v>374</v>
      </c>
      <c r="B20" s="79" t="s">
        <v>336</v>
      </c>
      <c r="C20" s="47">
        <v>620260708036052</v>
      </c>
      <c r="D20" s="47">
        <v>720260708036452</v>
      </c>
      <c r="E20" s="46" t="s">
        <v>55</v>
      </c>
    </row>
    <row r="21" spans="1:5" x14ac:dyDescent="0.3">
      <c r="A21" s="78" t="s">
        <v>375</v>
      </c>
      <c r="B21" s="79" t="s">
        <v>337</v>
      </c>
      <c r="C21" s="47">
        <v>620260708036053</v>
      </c>
      <c r="D21" s="47">
        <v>720260708036453</v>
      </c>
      <c r="E21" s="46" t="s">
        <v>55</v>
      </c>
    </row>
    <row r="22" spans="1:5" x14ac:dyDescent="0.3">
      <c r="A22" s="78" t="s">
        <v>376</v>
      </c>
      <c r="B22" s="79" t="s">
        <v>338</v>
      </c>
      <c r="C22" s="47">
        <v>620260708036054</v>
      </c>
      <c r="D22" s="47">
        <v>720260708036454</v>
      </c>
      <c r="E22" s="46" t="s">
        <v>55</v>
      </c>
    </row>
    <row r="23" spans="1:5" x14ac:dyDescent="0.3">
      <c r="A23" s="78" t="s">
        <v>377</v>
      </c>
      <c r="B23" s="79" t="s">
        <v>339</v>
      </c>
      <c r="C23" s="47">
        <v>620260708036055</v>
      </c>
      <c r="D23" s="47">
        <v>720260708036455</v>
      </c>
      <c r="E23" s="46" t="s">
        <v>55</v>
      </c>
    </row>
    <row r="24" spans="1:5" x14ac:dyDescent="0.3">
      <c r="A24" s="78" t="s">
        <v>378</v>
      </c>
      <c r="B24" s="79" t="s">
        <v>340</v>
      </c>
      <c r="C24" s="47">
        <v>620260708036056</v>
      </c>
      <c r="D24" s="47">
        <v>720260708036456</v>
      </c>
      <c r="E24" s="46" t="s">
        <v>55</v>
      </c>
    </row>
    <row r="25" spans="1:5" x14ac:dyDescent="0.3">
      <c r="A25" s="78" t="s">
        <v>379</v>
      </c>
      <c r="B25" s="79" t="s">
        <v>341</v>
      </c>
      <c r="C25" s="47">
        <v>620260708036057</v>
      </c>
      <c r="D25" s="47">
        <v>720260708036457</v>
      </c>
      <c r="E25" s="46" t="s">
        <v>55</v>
      </c>
    </row>
    <row r="26" spans="1:5" ht="28.8" x14ac:dyDescent="0.3">
      <c r="A26" s="78" t="s">
        <v>380</v>
      </c>
      <c r="B26" s="79" t="s">
        <v>353</v>
      </c>
      <c r="C26" s="47">
        <v>620260708036058</v>
      </c>
      <c r="D26" s="47">
        <v>720260708036458</v>
      </c>
      <c r="E26" s="46" t="s">
        <v>55</v>
      </c>
    </row>
    <row r="27" spans="1:5" x14ac:dyDescent="0.3">
      <c r="A27" s="78" t="s">
        <v>381</v>
      </c>
      <c r="B27" s="79" t="s">
        <v>342</v>
      </c>
      <c r="C27" s="47">
        <v>620260708036059</v>
      </c>
      <c r="D27" s="47">
        <v>720260708036459</v>
      </c>
      <c r="E27" s="46" t="s">
        <v>55</v>
      </c>
    </row>
    <row r="28" spans="1:5" s="89" customFormat="1" x14ac:dyDescent="0.3">
      <c r="A28" s="87" t="s">
        <v>382</v>
      </c>
      <c r="B28" s="88" t="s">
        <v>354</v>
      </c>
      <c r="C28" s="48">
        <v>620260708036033</v>
      </c>
      <c r="D28" s="48">
        <v>720260708036433</v>
      </c>
      <c r="E28" s="46" t="s">
        <v>62</v>
      </c>
    </row>
    <row r="29" spans="1:5" x14ac:dyDescent="0.3">
      <c r="A29" s="78" t="s">
        <v>383</v>
      </c>
      <c r="B29" s="79" t="s">
        <v>343</v>
      </c>
      <c r="C29" s="47">
        <v>620260708036060</v>
      </c>
      <c r="D29" s="47">
        <v>720260708036460</v>
      </c>
      <c r="E29" s="46" t="s">
        <v>62</v>
      </c>
    </row>
    <row r="30" spans="1:5" ht="28.8" x14ac:dyDescent="0.3">
      <c r="A30" s="78" t="s">
        <v>384</v>
      </c>
      <c r="B30" s="79" t="s">
        <v>344</v>
      </c>
      <c r="C30" s="47">
        <v>620260708036061</v>
      </c>
      <c r="D30" s="47">
        <v>720260708036461</v>
      </c>
      <c r="E30" s="46" t="s">
        <v>62</v>
      </c>
    </row>
    <row r="31" spans="1:5" x14ac:dyDescent="0.3">
      <c r="A31" s="78" t="s">
        <v>385</v>
      </c>
      <c r="B31" s="79" t="s">
        <v>335</v>
      </c>
      <c r="C31" s="47">
        <v>620260708036062</v>
      </c>
      <c r="D31" s="47">
        <v>720260708036462</v>
      </c>
      <c r="E31" s="46" t="s">
        <v>62</v>
      </c>
    </row>
    <row r="32" spans="1:5" x14ac:dyDescent="0.3">
      <c r="A32" s="78" t="s">
        <v>386</v>
      </c>
      <c r="B32" s="79" t="s">
        <v>345</v>
      </c>
      <c r="C32" s="47">
        <v>620260708036063</v>
      </c>
      <c r="D32" s="47">
        <v>720260708036463</v>
      </c>
      <c r="E32" s="46" t="s">
        <v>62</v>
      </c>
    </row>
    <row r="33" spans="1:6" x14ac:dyDescent="0.3">
      <c r="A33" s="84" t="s">
        <v>387</v>
      </c>
      <c r="B33" s="79" t="s">
        <v>346</v>
      </c>
      <c r="C33" s="47">
        <v>620260708036064</v>
      </c>
      <c r="D33" s="47">
        <v>720260708036464</v>
      </c>
      <c r="E33" s="46" t="s">
        <v>62</v>
      </c>
    </row>
    <row r="34" spans="1:6" ht="28.8" x14ac:dyDescent="0.3">
      <c r="A34" s="84" t="s">
        <v>388</v>
      </c>
      <c r="B34" s="79" t="s">
        <v>347</v>
      </c>
      <c r="C34" s="47">
        <v>620260708036065</v>
      </c>
      <c r="D34" s="47">
        <v>720260708036465</v>
      </c>
      <c r="E34" s="46" t="s">
        <v>62</v>
      </c>
    </row>
    <row r="35" spans="1:6" x14ac:dyDescent="0.3">
      <c r="A35" s="84" t="s">
        <v>389</v>
      </c>
      <c r="B35" s="79" t="s">
        <v>348</v>
      </c>
      <c r="C35" s="47"/>
      <c r="D35" s="47"/>
      <c r="E35" s="46" t="s">
        <v>62</v>
      </c>
    </row>
    <row r="36" spans="1:6" x14ac:dyDescent="0.3">
      <c r="A36" s="84" t="s">
        <v>390</v>
      </c>
      <c r="B36" s="79" t="s">
        <v>349</v>
      </c>
      <c r="C36" s="47">
        <v>620260708036066</v>
      </c>
      <c r="D36" s="47">
        <v>720260708036466</v>
      </c>
      <c r="E36" s="46" t="s">
        <v>62</v>
      </c>
    </row>
    <row r="37" spans="1:6" ht="28.8" x14ac:dyDescent="0.3">
      <c r="A37" s="84" t="s">
        <v>391</v>
      </c>
      <c r="B37" s="79" t="s">
        <v>350</v>
      </c>
      <c r="C37" s="47">
        <v>620260708036067</v>
      </c>
      <c r="D37" s="47">
        <v>720260708036467</v>
      </c>
      <c r="E37" s="46" t="s">
        <v>62</v>
      </c>
      <c r="F37" s="90" t="s">
        <v>392</v>
      </c>
    </row>
  </sheetData>
  <phoneticPr fontId="5" type="noConversion"/>
  <hyperlinks>
    <hyperlink ref="F37" r:id="rId1" xr:uid="{13D7660E-1FB6-4D8A-8DF3-BC011E8034B5}"/>
  </hyperlinks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11C8-2C83-4E43-98AC-CE136905D44B}">
  <dimension ref="A1"/>
  <sheetViews>
    <sheetView workbookViewId="0">
      <selection activeCell="K18" sqref="K18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44E7-80A2-4C7E-81E9-6F4F71F2FAFC}">
  <dimension ref="A1:E26"/>
  <sheetViews>
    <sheetView workbookViewId="0">
      <selection activeCell="E7" sqref="E7"/>
    </sheetView>
  </sheetViews>
  <sheetFormatPr defaultRowHeight="14.4" x14ac:dyDescent="0.3"/>
  <cols>
    <col min="1" max="1" width="18.44140625" customWidth="1"/>
    <col min="2" max="2" width="21.88671875" customWidth="1"/>
    <col min="3" max="3" width="17.5546875" customWidth="1"/>
    <col min="5" max="5" width="15.88671875" bestFit="1" customWidth="1"/>
  </cols>
  <sheetData>
    <row r="1" spans="1:5" x14ac:dyDescent="0.3">
      <c r="A1" s="247" t="s">
        <v>69</v>
      </c>
      <c r="B1" s="248"/>
      <c r="C1" s="248"/>
      <c r="D1" s="26" t="s">
        <v>73</v>
      </c>
    </row>
    <row r="2" spans="1:5" x14ac:dyDescent="0.3">
      <c r="A2" s="23" t="s">
        <v>70</v>
      </c>
      <c r="B2" s="23" t="s">
        <v>71</v>
      </c>
      <c r="C2" s="25" t="s">
        <v>12</v>
      </c>
      <c r="D2" s="27"/>
    </row>
    <row r="3" spans="1:5" x14ac:dyDescent="0.3">
      <c r="A3" s="24">
        <v>9701111801</v>
      </c>
      <c r="B3" s="23"/>
      <c r="C3" s="25" t="s">
        <v>20</v>
      </c>
      <c r="D3" s="27" t="s">
        <v>74</v>
      </c>
      <c r="E3" t="s">
        <v>75</v>
      </c>
    </row>
    <row r="4" spans="1:5" x14ac:dyDescent="0.3">
      <c r="A4" s="24">
        <v>9701111802</v>
      </c>
      <c r="B4" s="23"/>
      <c r="C4" s="25" t="s">
        <v>29</v>
      </c>
      <c r="D4" s="27" t="s">
        <v>74</v>
      </c>
      <c r="E4" t="s">
        <v>76</v>
      </c>
    </row>
    <row r="5" spans="1:5" x14ac:dyDescent="0.3">
      <c r="A5" s="24">
        <v>9705555806</v>
      </c>
      <c r="B5" s="23"/>
      <c r="C5" s="25" t="s">
        <v>80</v>
      </c>
      <c r="D5" s="27" t="s">
        <v>74</v>
      </c>
      <c r="E5" t="s">
        <v>81</v>
      </c>
    </row>
    <row r="6" spans="1:5" x14ac:dyDescent="0.3">
      <c r="A6" s="24">
        <v>9701111804</v>
      </c>
      <c r="B6" s="23"/>
      <c r="C6" s="25" t="s">
        <v>79</v>
      </c>
      <c r="D6" s="27" t="s">
        <v>72</v>
      </c>
      <c r="E6" t="s">
        <v>77</v>
      </c>
    </row>
    <row r="7" spans="1:5" x14ac:dyDescent="0.3">
      <c r="A7" s="24">
        <v>9701111805</v>
      </c>
      <c r="B7" s="23"/>
      <c r="C7" s="28" t="s">
        <v>79</v>
      </c>
      <c r="D7" s="27" t="s">
        <v>74</v>
      </c>
      <c r="E7" t="s">
        <v>78</v>
      </c>
    </row>
    <row r="8" spans="1:5" x14ac:dyDescent="0.3">
      <c r="A8" s="24"/>
      <c r="B8" s="23"/>
      <c r="C8" s="25"/>
      <c r="D8" s="27"/>
    </row>
    <row r="9" spans="1:5" x14ac:dyDescent="0.3">
      <c r="A9" s="24"/>
      <c r="B9" s="23"/>
      <c r="C9" s="25"/>
      <c r="D9" s="27"/>
    </row>
    <row r="10" spans="1:5" x14ac:dyDescent="0.3">
      <c r="A10" s="24"/>
      <c r="B10" s="23"/>
      <c r="C10" s="25"/>
      <c r="D10" s="27"/>
    </row>
    <row r="11" spans="1:5" x14ac:dyDescent="0.3">
      <c r="A11" s="24"/>
      <c r="B11" s="23"/>
      <c r="C11" s="25"/>
      <c r="D11" s="27"/>
    </row>
    <row r="12" spans="1:5" x14ac:dyDescent="0.3">
      <c r="A12" s="24"/>
      <c r="B12" s="23"/>
      <c r="C12" s="25"/>
      <c r="D12" s="27"/>
    </row>
    <row r="13" spans="1:5" x14ac:dyDescent="0.3">
      <c r="A13" s="24"/>
      <c r="B13" s="23"/>
      <c r="C13" s="25"/>
      <c r="D13" s="27"/>
    </row>
    <row r="14" spans="1:5" x14ac:dyDescent="0.3">
      <c r="A14" s="24"/>
      <c r="B14" s="23"/>
      <c r="C14" s="25"/>
      <c r="D14" s="27"/>
    </row>
    <row r="15" spans="1:5" x14ac:dyDescent="0.3">
      <c r="A15" s="24"/>
      <c r="B15" s="23"/>
      <c r="C15" s="25"/>
      <c r="D15" s="27"/>
    </row>
    <row r="16" spans="1:5" x14ac:dyDescent="0.3">
      <c r="A16" s="24"/>
      <c r="B16" s="23"/>
      <c r="C16" s="25"/>
      <c r="D16" s="27"/>
    </row>
    <row r="17" spans="1:4" x14ac:dyDescent="0.3">
      <c r="A17" s="24"/>
      <c r="B17" s="23"/>
      <c r="C17" s="25"/>
      <c r="D17" s="27"/>
    </row>
    <row r="18" spans="1:4" x14ac:dyDescent="0.3">
      <c r="A18" s="24"/>
      <c r="B18" s="23"/>
      <c r="C18" s="25"/>
      <c r="D18" s="27"/>
    </row>
    <row r="19" spans="1:4" x14ac:dyDescent="0.3">
      <c r="A19" s="24"/>
      <c r="B19" s="23"/>
      <c r="C19" s="25"/>
      <c r="D19" s="27"/>
    </row>
    <row r="20" spans="1:4" x14ac:dyDescent="0.3">
      <c r="A20" s="24"/>
      <c r="B20" s="23"/>
      <c r="C20" s="25"/>
      <c r="D20" s="27"/>
    </row>
    <row r="21" spans="1:4" x14ac:dyDescent="0.3">
      <c r="A21" s="24"/>
      <c r="B21" s="23"/>
      <c r="C21" s="25"/>
      <c r="D21" s="27"/>
    </row>
    <row r="22" spans="1:4" x14ac:dyDescent="0.3">
      <c r="A22" s="24"/>
      <c r="B22" s="23"/>
      <c r="C22" s="25"/>
      <c r="D22" s="27"/>
    </row>
    <row r="23" spans="1:4" x14ac:dyDescent="0.3">
      <c r="A23" s="24"/>
      <c r="B23" s="23"/>
      <c r="C23" s="25"/>
      <c r="D23" s="27"/>
    </row>
    <row r="24" spans="1:4" x14ac:dyDescent="0.3">
      <c r="A24" s="24"/>
      <c r="B24" s="23"/>
      <c r="C24" s="25"/>
      <c r="D24" s="27"/>
    </row>
    <row r="25" spans="1:4" x14ac:dyDescent="0.3">
      <c r="A25" s="24"/>
      <c r="B25" s="23"/>
      <c r="C25" s="25"/>
      <c r="D25" s="27"/>
    </row>
    <row r="26" spans="1:4" x14ac:dyDescent="0.3">
      <c r="A26" s="22"/>
      <c r="B26" s="22"/>
      <c r="C26" s="22"/>
      <c r="D26" s="22"/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3C79-62AB-4C64-943D-6C929A7387CB}">
  <dimension ref="A1:D5"/>
  <sheetViews>
    <sheetView workbookViewId="0">
      <selection activeCell="I15" sqref="I15"/>
    </sheetView>
  </sheetViews>
  <sheetFormatPr defaultRowHeight="14.4" x14ac:dyDescent="0.3"/>
  <cols>
    <col min="1" max="1" width="16.109375" style="29" bestFit="1" customWidth="1"/>
  </cols>
  <sheetData>
    <row r="1" spans="1:4" x14ac:dyDescent="0.3">
      <c r="A1" s="29">
        <v>529020012457846</v>
      </c>
      <c r="B1" t="s">
        <v>82</v>
      </c>
      <c r="C1">
        <v>12</v>
      </c>
      <c r="D1">
        <v>90000</v>
      </c>
    </row>
    <row r="2" spans="1:4" x14ac:dyDescent="0.3">
      <c r="A2" s="29">
        <v>529020012457872</v>
      </c>
      <c r="B2" t="s">
        <v>82</v>
      </c>
      <c r="C2">
        <v>24</v>
      </c>
      <c r="D2">
        <v>150000</v>
      </c>
    </row>
    <row r="3" spans="1:4" x14ac:dyDescent="0.3">
      <c r="A3" s="29">
        <v>529020012457900</v>
      </c>
      <c r="B3" t="s">
        <v>82</v>
      </c>
      <c r="C3">
        <v>36</v>
      </c>
      <c r="D3">
        <v>250000</v>
      </c>
    </row>
    <row r="4" spans="1:4" x14ac:dyDescent="0.3">
      <c r="A4" s="29">
        <v>529030012457932</v>
      </c>
      <c r="B4" t="s">
        <v>80</v>
      </c>
      <c r="C4">
        <v>12</v>
      </c>
      <c r="D4">
        <v>150000</v>
      </c>
    </row>
    <row r="5" spans="1:4" x14ac:dyDescent="0.3">
      <c r="A5" s="29">
        <v>529030012457969</v>
      </c>
      <c r="B5" t="s">
        <v>80</v>
      </c>
      <c r="C5">
        <v>24</v>
      </c>
      <c r="D5">
        <v>250000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C717-09E7-4E2E-A00B-72BA4B75DADC}">
  <dimension ref="A1:J12"/>
  <sheetViews>
    <sheetView topLeftCell="A11" workbookViewId="0">
      <selection activeCell="F16" sqref="F16"/>
    </sheetView>
  </sheetViews>
  <sheetFormatPr defaultRowHeight="14.4" x14ac:dyDescent="0.3"/>
  <cols>
    <col min="1" max="1" width="17.109375" bestFit="1" customWidth="1"/>
    <col min="2" max="2" width="15.44140625" style="9" bestFit="1" customWidth="1"/>
    <col min="3" max="3" width="18.44140625" bestFit="1" customWidth="1"/>
    <col min="4" max="4" width="20.109375" bestFit="1" customWidth="1"/>
    <col min="5" max="5" width="20.109375" customWidth="1"/>
    <col min="6" max="6" width="20.109375" style="19" customWidth="1"/>
    <col min="7" max="7" width="38.88671875" style="13" bestFit="1" customWidth="1"/>
    <col min="8" max="8" width="21.109375" style="13" bestFit="1" customWidth="1"/>
    <col min="9" max="9" width="20.5546875" style="9" bestFit="1" customWidth="1"/>
  </cols>
  <sheetData>
    <row r="1" spans="1:10" x14ac:dyDescent="0.3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16" t="s">
        <v>16</v>
      </c>
      <c r="G1" s="5" t="s">
        <v>17</v>
      </c>
      <c r="H1" s="5" t="s">
        <v>18</v>
      </c>
      <c r="I1" s="4" t="s">
        <v>19</v>
      </c>
    </row>
    <row r="2" spans="1:10" x14ac:dyDescent="0.3">
      <c r="A2" s="6"/>
      <c r="B2" s="8" t="s">
        <v>20</v>
      </c>
      <c r="C2" s="6" t="s">
        <v>21</v>
      </c>
      <c r="D2" s="6"/>
      <c r="E2" s="6"/>
      <c r="F2" s="17">
        <v>190212525873</v>
      </c>
      <c r="G2" s="20" t="s">
        <v>22</v>
      </c>
      <c r="H2" s="10" t="s">
        <v>23</v>
      </c>
      <c r="I2" s="10" t="s">
        <v>24</v>
      </c>
      <c r="J2" s="7"/>
    </row>
    <row r="3" spans="1:10" ht="28.8" x14ac:dyDescent="0.3">
      <c r="A3" s="6"/>
      <c r="B3" s="8" t="s">
        <v>25</v>
      </c>
      <c r="C3" s="6"/>
      <c r="D3" s="6"/>
      <c r="E3" s="6"/>
      <c r="F3" s="17" t="s">
        <v>26</v>
      </c>
      <c r="G3" s="11" t="s">
        <v>27</v>
      </c>
      <c r="H3" s="11" t="s">
        <v>28</v>
      </c>
      <c r="I3" s="10" t="s">
        <v>24</v>
      </c>
      <c r="J3" s="7"/>
    </row>
    <row r="4" spans="1:10" x14ac:dyDescent="0.3">
      <c r="A4" s="6"/>
      <c r="B4" s="8" t="s">
        <v>29</v>
      </c>
      <c r="C4" s="6" t="s">
        <v>30</v>
      </c>
      <c r="D4" s="6"/>
      <c r="E4" s="6"/>
      <c r="F4" s="17">
        <v>144546139147</v>
      </c>
      <c r="G4" s="20" t="s">
        <v>31</v>
      </c>
      <c r="H4" s="10" t="s">
        <v>32</v>
      </c>
      <c r="I4" s="10" t="s">
        <v>24</v>
      </c>
      <c r="J4" s="7"/>
    </row>
    <row r="5" spans="1:10" x14ac:dyDescent="0.3">
      <c r="A5" s="6"/>
      <c r="B5" s="8" t="s">
        <v>33</v>
      </c>
      <c r="C5" s="6"/>
      <c r="D5" s="6"/>
      <c r="E5" s="6"/>
      <c r="F5" s="17"/>
      <c r="G5" s="20" t="s">
        <v>34</v>
      </c>
      <c r="H5" s="10" t="s">
        <v>35</v>
      </c>
      <c r="I5" s="10" t="s">
        <v>24</v>
      </c>
      <c r="J5" s="7"/>
    </row>
    <row r="6" spans="1:10" x14ac:dyDescent="0.3">
      <c r="A6" s="6"/>
      <c r="B6" s="8" t="s">
        <v>36</v>
      </c>
      <c r="C6" s="6"/>
      <c r="D6" s="6"/>
      <c r="E6" s="6"/>
      <c r="F6" s="17"/>
      <c r="G6" s="21" t="s">
        <v>37</v>
      </c>
      <c r="H6" s="10" t="s">
        <v>38</v>
      </c>
      <c r="I6" s="10" t="s">
        <v>24</v>
      </c>
      <c r="J6" s="7"/>
    </row>
    <row r="7" spans="1:10" x14ac:dyDescent="0.3">
      <c r="A7" s="6"/>
      <c r="B7" s="8" t="s">
        <v>39</v>
      </c>
      <c r="C7" s="6"/>
      <c r="D7" s="6"/>
      <c r="E7" s="6"/>
      <c r="F7" s="17"/>
      <c r="G7" s="21" t="s">
        <v>40</v>
      </c>
      <c r="H7" s="10" t="s">
        <v>41</v>
      </c>
      <c r="I7" s="10" t="s">
        <v>24</v>
      </c>
      <c r="J7" s="7"/>
    </row>
    <row r="8" spans="1:10" ht="28.8" x14ac:dyDescent="0.3">
      <c r="A8" s="6"/>
      <c r="B8" s="8" t="s">
        <v>42</v>
      </c>
      <c r="C8" s="6"/>
      <c r="D8" s="6" t="s">
        <v>43</v>
      </c>
      <c r="E8" s="6"/>
      <c r="F8" s="17"/>
      <c r="G8" s="11" t="s">
        <v>44</v>
      </c>
      <c r="H8" s="11" t="s">
        <v>45</v>
      </c>
      <c r="I8" s="10" t="s">
        <v>46</v>
      </c>
      <c r="J8" s="7"/>
    </row>
    <row r="9" spans="1:10" ht="28.8" x14ac:dyDescent="0.3">
      <c r="A9" s="6"/>
      <c r="B9" s="8" t="s">
        <v>47</v>
      </c>
      <c r="C9" s="6"/>
      <c r="D9" s="15" t="s">
        <v>48</v>
      </c>
      <c r="E9" s="15"/>
      <c r="F9" s="18"/>
      <c r="G9" s="12" t="s">
        <v>49</v>
      </c>
      <c r="H9" s="12" t="s">
        <v>50</v>
      </c>
      <c r="I9" s="10" t="s">
        <v>46</v>
      </c>
      <c r="J9" s="7"/>
    </row>
    <row r="10" spans="1:10" ht="28.8" x14ac:dyDescent="0.3">
      <c r="A10" s="2"/>
      <c r="B10" s="8" t="s">
        <v>51</v>
      </c>
      <c r="C10" s="2"/>
      <c r="D10" s="3" t="s">
        <v>52</v>
      </c>
      <c r="E10" s="3"/>
      <c r="F10" s="17"/>
      <c r="G10" s="11" t="s">
        <v>53</v>
      </c>
      <c r="H10" s="11" t="s">
        <v>54</v>
      </c>
      <c r="I10" s="10" t="s">
        <v>46</v>
      </c>
    </row>
    <row r="11" spans="1:10" ht="100.8" x14ac:dyDescent="0.3">
      <c r="A11" s="2"/>
      <c r="B11" s="8" t="s">
        <v>55</v>
      </c>
      <c r="C11" s="3" t="s">
        <v>56</v>
      </c>
      <c r="D11" s="3" t="s">
        <v>57</v>
      </c>
      <c r="E11" s="3" t="s">
        <v>58</v>
      </c>
      <c r="F11" s="17" t="s">
        <v>59</v>
      </c>
      <c r="G11" s="11" t="s">
        <v>60</v>
      </c>
      <c r="H11" s="11" t="s">
        <v>61</v>
      </c>
      <c r="I11" s="10" t="s">
        <v>46</v>
      </c>
    </row>
    <row r="12" spans="1:10" ht="100.8" x14ac:dyDescent="0.3">
      <c r="A12" s="2"/>
      <c r="B12" s="8" t="s">
        <v>62</v>
      </c>
      <c r="C12" s="3" t="s">
        <v>63</v>
      </c>
      <c r="D12" s="3" t="s">
        <v>64</v>
      </c>
      <c r="E12" s="3" t="s">
        <v>65</v>
      </c>
      <c r="F12" s="17" t="s">
        <v>66</v>
      </c>
      <c r="G12" s="11" t="s">
        <v>67</v>
      </c>
      <c r="H12" s="11" t="s">
        <v>68</v>
      </c>
      <c r="I12" s="10" t="s">
        <v>46</v>
      </c>
    </row>
  </sheetData>
  <pageMargins left="0.7" right="0.7" top="0.75" bottom="0.75" header="0.3" footer="0.3"/>
  <headerFooter>
    <oddHeader>&amp;L&amp;"Aptos"&amp;12&amp;K008000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b629a8-4d17-4932-9456-ad4f9ee1901f">
      <Terms xmlns="http://schemas.microsoft.com/office/infopath/2007/PartnerControls"/>
    </lcf76f155ced4ddcb4097134ff3c332f>
    <Project xmlns="bfb629a8-4d17-4932-9456-ad4f9ee1901f">Evoltis</Project>
    <TaxCatchAll xmlns="ae117229-edad-45c5-bf54-f4e2472b35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087D332109ED4299C66C558958A970" ma:contentTypeVersion="20" ma:contentTypeDescription="Create a new document." ma:contentTypeScope="" ma:versionID="75aecd4e38a753f3d8df8c5c2864c4ac">
  <xsd:schema xmlns:xsd="http://www.w3.org/2001/XMLSchema" xmlns:xs="http://www.w3.org/2001/XMLSchema" xmlns:p="http://schemas.microsoft.com/office/2006/metadata/properties" xmlns:ns2="bfb629a8-4d17-4932-9456-ad4f9ee1901f" xmlns:ns3="ae117229-edad-45c5-bf54-f4e2472b35fd" targetNamespace="http://schemas.microsoft.com/office/2006/metadata/properties" ma:root="true" ma:fieldsID="6d4891793ca0897d710fab0fc5714580" ns2:_="" ns3:_="">
    <xsd:import namespace="bfb629a8-4d17-4932-9456-ad4f9ee1901f"/>
    <xsd:import namespace="ae117229-edad-45c5-bf54-f4e2472b35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Projec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629a8-4d17-4932-9456-ad4f9ee190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dbe4758-17fe-49c5-9b3a-0bf1e4cde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ject" ma:index="23" nillable="true" ma:displayName="Project" ma:default="Evoltis" ma:format="Dropdown" ma:internalName="Project">
      <xsd:simpleType>
        <xsd:restriction base="dms:Choice">
          <xsd:enumeration value="Evoltis"/>
          <xsd:enumeration value="Phoenix"/>
          <xsd:enumeration value="Sapphire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17229-edad-45c5-bf54-f4e2472b35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56dcfe4-d72e-44a9-83d9-b74cb7a0a880}" ma:internalName="TaxCatchAll" ma:showField="CatchAllData" ma:web="ae117229-edad-45c5-bf54-f4e2472b35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0D8A81-DB2B-4133-A8BC-B0346D3E85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1205CA-EC6B-4BFC-98CC-1C31D9A9BF0D}">
  <ds:schemaRefs>
    <ds:schemaRef ds:uri="http://schemas.microsoft.com/office/2006/metadata/properties"/>
    <ds:schemaRef ds:uri="http://schemas.microsoft.com/office/infopath/2007/PartnerControls"/>
    <ds:schemaRef ds:uri="bfb629a8-4d17-4932-9456-ad4f9ee1901f"/>
    <ds:schemaRef ds:uri="ae117229-edad-45c5-bf54-f4e2472b35fd"/>
  </ds:schemaRefs>
</ds:datastoreItem>
</file>

<file path=customXml/itemProps3.xml><?xml version="1.0" encoding="utf-8"?>
<ds:datastoreItem xmlns:ds="http://schemas.openxmlformats.org/officeDocument/2006/customXml" ds:itemID="{81663957-123A-49B6-96D5-C4BAC6081C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b629a8-4d17-4932-9456-ad4f9ee1901f"/>
    <ds:schemaRef ds:uri="ae117229-edad-45c5-bf54-f4e2472b35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9514d33-73f1-43b8-a58f-8f6521caeb0f}" enabled="1" method="Standard" siteId="{eb18a341-8b39-42f4-a368-bcb385e9422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Estimations</vt:lpstr>
      <vt:lpstr>Sheet1</vt:lpstr>
      <vt:lpstr>LOVs</vt:lpstr>
      <vt:lpstr>ICMS LOVs</vt:lpstr>
      <vt:lpstr>NEW Industry Column Non-Salad</vt:lpstr>
      <vt:lpstr>NEW Industry Column Salad</vt:lpstr>
      <vt:lpstr>Test</vt:lpstr>
      <vt:lpstr>Company</vt:lpstr>
      <vt:lpstr>Sheet3</vt:lpstr>
      <vt:lpstr>Test-data</vt:lpstr>
      <vt:lpstr>PMWebtool</vt:lpstr>
      <vt:lpstr>Test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Gabriel Margallo</dc:creator>
  <cp:keywords/>
  <dc:description/>
  <cp:lastModifiedBy>Daniel S. Insular</cp:lastModifiedBy>
  <cp:revision/>
  <dcterms:created xsi:type="dcterms:W3CDTF">2023-09-25T08:22:45Z</dcterms:created>
  <dcterms:modified xsi:type="dcterms:W3CDTF">2026-07-13T13:36:48Z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0x010100D4087D332109ED4299C66C558958A970</vt:lpwstr>
  </property>
  <property fmtid="{D5CDD505-2E9C-101B-9397-08002B2CF9AE}" pid="3" name="MediaServiceImageTags">
    <vt:lpwstr/>
  </property>
</Properties>
</file>